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et-my.sharepoint.com/personal/ruwaysaa_mopm_gov_sa/Documents/Desktop/شهادة انجاز الخزامى الجديد/"/>
    </mc:Choice>
  </mc:AlternateContent>
  <xr:revisionPtr revIDLastSave="2302" documentId="8_{11AB60EE-09AA-4E50-8BCB-4DCEB329BBA6}" xr6:coauthVersionLast="47" xr6:coauthVersionMax="47" xr10:uidLastSave="{F7A2D41F-DD8D-4E41-A980-C6E18E7FF6B8}"/>
  <bookViews>
    <workbookView xWindow="14295" yWindow="0" windowWidth="14610" windowHeight="15585" xr2:uid="{FB3E6531-9BEA-4A81-9888-ABCD23910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2" i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2" i="1"/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2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3" i="1"/>
  <c r="AN4" i="1"/>
  <c r="AN5" i="1"/>
  <c r="AN6" i="1"/>
  <c r="AN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2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BA4" i="1"/>
  <c r="BA3" i="1"/>
  <c r="BA2" i="1"/>
  <c r="A72" i="1" l="1"/>
  <c r="A73" i="1"/>
  <c r="A74" i="1"/>
  <c r="A75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2" i="1"/>
  <c r="A76" i="1" l="1"/>
</calcChain>
</file>

<file path=xl/sharedStrings.xml><?xml version="1.0" encoding="utf-8"?>
<sst xmlns="http://schemas.openxmlformats.org/spreadsheetml/2006/main" count="167" uniqueCount="117">
  <si>
    <t>كيلو</t>
  </si>
  <si>
    <t>قهوة إسبريسو</t>
  </si>
  <si>
    <t>قهوة سوداء</t>
  </si>
  <si>
    <t>قهوة تركية</t>
  </si>
  <si>
    <t>هيل</t>
  </si>
  <si>
    <t>جرام</t>
  </si>
  <si>
    <t>زعفران</t>
  </si>
  <si>
    <t>علبة 2 لتر</t>
  </si>
  <si>
    <t>حليب طازج</t>
  </si>
  <si>
    <t>علبة 1 لتر</t>
  </si>
  <si>
    <t>حليب نباتي</t>
  </si>
  <si>
    <t>كرتون 100 حبة</t>
  </si>
  <si>
    <t>شاي زهور</t>
  </si>
  <si>
    <t>كرتون 40 حبة</t>
  </si>
  <si>
    <t>ماء</t>
  </si>
  <si>
    <t>كرتون</t>
  </si>
  <si>
    <t>حليب مكثف</t>
  </si>
  <si>
    <t>حبة</t>
  </si>
  <si>
    <t>سلطه</t>
  </si>
  <si>
    <t>معجنات صغيرة</t>
  </si>
  <si>
    <t>زبادي (يوناني)</t>
  </si>
  <si>
    <t>جرانولا</t>
  </si>
  <si>
    <t>مجموعة الطعام</t>
  </si>
  <si>
    <t>محطة تحلية صغيرة الحجم</t>
  </si>
  <si>
    <t>محضر القهوة السوداء</t>
  </si>
  <si>
    <t>محضر القهوة التركية</t>
  </si>
  <si>
    <t>ميزان معايرة القهوة والمشروبات</t>
  </si>
  <si>
    <t>صانعة ثلج</t>
  </si>
  <si>
    <t>مكبس قهوة</t>
  </si>
  <si>
    <t>موزع قهوة</t>
  </si>
  <si>
    <t>ميكرويف لتسخين الساندويتش</t>
  </si>
  <si>
    <t>شخص</t>
  </si>
  <si>
    <t>خدمة الاجتماعات B</t>
  </si>
  <si>
    <t>خدمة الاجتماعات C</t>
  </si>
  <si>
    <t>فرد</t>
  </si>
  <si>
    <t>سكر دايت</t>
  </si>
  <si>
    <t>حليب مبخر</t>
  </si>
  <si>
    <t>رقائق بطاطس صحية</t>
  </si>
  <si>
    <t>وجبة</t>
  </si>
  <si>
    <t>المواد</t>
  </si>
  <si>
    <t>الوحدة</t>
  </si>
  <si>
    <t>الكمية</t>
  </si>
  <si>
    <t>السعر الفردي</t>
  </si>
  <si>
    <t>السعر الإجمالي</t>
  </si>
  <si>
    <t>#1</t>
  </si>
  <si>
    <t>قهوة سعودية</t>
  </si>
  <si>
    <t>شاهي اسود ممتاز</t>
  </si>
  <si>
    <t>شاهي اخضر ممتاز</t>
  </si>
  <si>
    <t>أظرف شاهي كرك</t>
  </si>
  <si>
    <t>كرتون 10 أظرف</t>
  </si>
  <si>
    <t>جالون</t>
  </si>
  <si>
    <t xml:space="preserve">مياه غازية </t>
  </si>
  <si>
    <t>كرتون 24 حبة</t>
  </si>
  <si>
    <t>مشروبات غازية</t>
  </si>
  <si>
    <t>عصيرات طازجة يومية</t>
  </si>
  <si>
    <t xml:space="preserve">عبوة 200 مل </t>
  </si>
  <si>
    <t>عصيرات طبيعية يومية</t>
  </si>
  <si>
    <t xml:space="preserve">كرتون أظرف سكر ابيض </t>
  </si>
  <si>
    <t>كرتون 5000 حبة</t>
  </si>
  <si>
    <t xml:space="preserve">كرتون يحتوي 100 ظرف </t>
  </si>
  <si>
    <t>أعواد خشبية</t>
  </si>
  <si>
    <t>كرتون يحتوي 5000 حبة</t>
  </si>
  <si>
    <t>سيروب بنكهات متعددة</t>
  </si>
  <si>
    <t>عبوة 2 لتر</t>
  </si>
  <si>
    <t>عبوة 450 جرام</t>
  </si>
  <si>
    <t>عبوة 170 جرام</t>
  </si>
  <si>
    <t>خليط الشوكولاتة الساخنة</t>
  </si>
  <si>
    <t>ساندويتش فطور</t>
  </si>
  <si>
    <t xml:space="preserve">ساندويتش </t>
  </si>
  <si>
    <t>وجبة إفطار خفيفة</t>
  </si>
  <si>
    <t>وجبة غداء خفيفة</t>
  </si>
  <si>
    <t xml:space="preserve">وجبة </t>
  </si>
  <si>
    <t xml:space="preserve">وجبة رئيسية </t>
  </si>
  <si>
    <t>فواكه متنوعة</t>
  </si>
  <si>
    <t>خضار منوعة</t>
  </si>
  <si>
    <t>مخبوزات صغيرة</t>
  </si>
  <si>
    <t>ساندويتش خالي من الغلوتين</t>
  </si>
  <si>
    <t>مكسرات منوعة</t>
  </si>
  <si>
    <t xml:space="preserve">حبة </t>
  </si>
  <si>
    <t>الواح شوفان</t>
  </si>
  <si>
    <t>بسكويت</t>
  </si>
  <si>
    <t>حلويات قليلة السعرات</t>
  </si>
  <si>
    <t>اكواب بلاستيك</t>
  </si>
  <si>
    <t>اكواب ورقية</t>
  </si>
  <si>
    <t>اكواب ورقية صغيرة</t>
  </si>
  <si>
    <t>اطباق ورقية</t>
  </si>
  <si>
    <t>المعدات</t>
  </si>
  <si>
    <t>مكينة اسبريسو</t>
  </si>
  <si>
    <t>طاحونة اسبريسو</t>
  </si>
  <si>
    <t xml:space="preserve">غلاية ماء </t>
  </si>
  <si>
    <t xml:space="preserve">طاحونة قهوة سوداء </t>
  </si>
  <si>
    <t>صانعة القهوة عربية</t>
  </si>
  <si>
    <t>اناء تبخير الحليب</t>
  </si>
  <si>
    <t xml:space="preserve">وعاء القهوة المستخلصة </t>
  </si>
  <si>
    <t>ثلاجة عرض واقفة للخدمة الذاتية</t>
  </si>
  <si>
    <t>محمصة الخبز</t>
  </si>
  <si>
    <t>خدمات كوفي بريك</t>
  </si>
  <si>
    <t>خدمة الاجتماعات A</t>
  </si>
  <si>
    <t>الموارد البشرية</t>
  </si>
  <si>
    <t>مقدم خدمات الضيافة</t>
  </si>
  <si>
    <t>مقدم قهوة وشاي سعودي لخدمات VIP باليومية</t>
  </si>
  <si>
    <t>مفرغ اطعمة</t>
  </si>
  <si>
    <t>المجموع</t>
  </si>
  <si>
    <t>NEXT</t>
  </si>
  <si>
    <t>مقارنة الكميات بين الشهر السابق والقادم</t>
  </si>
  <si>
    <t>جالون مياه</t>
  </si>
  <si>
    <t>*15%+</t>
  </si>
  <si>
    <t xml:space="preserve">21 حبه = كيلو ماتشا </t>
  </si>
  <si>
    <t>3-رمضان</t>
  </si>
  <si>
    <t>*20%+</t>
  </si>
  <si>
    <t>*30%+</t>
  </si>
  <si>
    <t xml:space="preserve">كود المشروع </t>
  </si>
  <si>
    <t>mea-25-009</t>
  </si>
  <si>
    <t xml:space="preserve">رقم المشروع في نظام اوراكل </t>
  </si>
  <si>
    <t xml:space="preserve"> +2525 لكل شهر</t>
  </si>
  <si>
    <t>bpa-2023-00021</t>
  </si>
  <si>
    <t xml:space="preserve">2400 للتمر في رمضان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</si>
</sst>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43" fontId="0" fillId="5" borderId="1" xfId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6" borderId="0" xfId="0" applyFill="1"/>
    <xf numFmtId="43" fontId="0" fillId="2" borderId="1" xfId="0" applyNumberFormat="1" applyFill="1" applyBorder="1"/>
    <xf numFmtId="0" fontId="6" fillId="7" borderId="0" xfId="2"/>
    <xf numFmtId="0" fontId="8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3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0" fillId="0" borderId="0" xfId="0" applyNumberFormat="1"/>
    <xf numFmtId="0" fontId="8" fillId="5" borderId="1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0" fontId="7" fillId="8" borderId="0" xfId="3"/>
    <xf numFmtId="164" fontId="0" fillId="5" borderId="1" xfId="0" applyNumberFormat="1" applyFill="1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9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4">
    <cellStyle name="Bad" xfId="2" builtinId="27"/>
    <cellStyle name="Comma" xfId="1" builtinId="3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777F-35E7-4771-8085-59C07F24F090}">
  <dimension ref="A1:BE80"/>
  <sheetViews>
    <sheetView tabSelected="1" topLeftCell="A52" zoomScaleNormal="100" workbookViewId="0">
      <selection activeCell="A77" sqref="A77"/>
    </sheetView>
  </sheetViews>
  <sheetFormatPr defaultRowHeight="18.75" x14ac:dyDescent="0.25"/>
  <cols>
    <col min="1" max="1" width="16.7109375" customWidth="1"/>
    <col min="2" max="2" width="10.28515625" bestFit="1" customWidth="1"/>
    <col min="3" max="3" width="19" style="23" customWidth="1"/>
    <col min="4" max="4" width="7.85546875" customWidth="1"/>
    <col min="5" max="5" width="27.28515625" bestFit="1" customWidth="1"/>
    <col min="6" max="6" width="38" bestFit="1" customWidth="1"/>
    <col min="7" max="7" width="9.5703125" bestFit="1" customWidth="1"/>
    <col min="8" max="26" width="9.5703125" customWidth="1"/>
    <col min="27" max="27" width="11.5703125" customWidth="1"/>
    <col min="28" max="32" width="9.140625" customWidth="1"/>
    <col min="34" max="34" width="9.5703125" bestFit="1" customWidth="1"/>
    <col min="36" max="36" width="9.5703125" bestFit="1" customWidth="1"/>
    <col min="42" max="42" width="11.5703125" bestFit="1" customWidth="1"/>
    <col min="43" max="43" width="8.85546875" customWidth="1"/>
    <col min="44" max="44" width="4.85546875" customWidth="1"/>
    <col min="45" max="45" width="12.28515625" customWidth="1"/>
    <col min="46" max="46" width="4.85546875" customWidth="1"/>
    <col min="47" max="47" width="12" customWidth="1"/>
    <col min="48" max="48" width="9.28515625" customWidth="1"/>
    <col min="49" max="49" width="4.85546875" customWidth="1"/>
    <col min="50" max="51" width="8.5703125" customWidth="1"/>
    <col min="54" max="54" width="13.42578125" customWidth="1"/>
    <col min="57" max="57" width="13.140625" customWidth="1"/>
  </cols>
  <sheetData>
    <row r="1" spans="1:57" x14ac:dyDescent="0.25">
      <c r="A1" s="2" t="s">
        <v>43</v>
      </c>
      <c r="B1" s="2" t="s">
        <v>42</v>
      </c>
      <c r="C1" s="19" t="s">
        <v>41</v>
      </c>
      <c r="D1" s="2" t="s">
        <v>44</v>
      </c>
      <c r="E1" s="3" t="s">
        <v>40</v>
      </c>
      <c r="F1" s="3" t="s">
        <v>39</v>
      </c>
      <c r="I1">
        <v>3</v>
      </c>
      <c r="K1">
        <v>2</v>
      </c>
      <c r="M1">
        <v>1</v>
      </c>
      <c r="O1">
        <v>12</v>
      </c>
      <c r="Q1">
        <v>11</v>
      </c>
      <c r="S1">
        <v>10</v>
      </c>
      <c r="U1">
        <v>9</v>
      </c>
      <c r="W1">
        <v>8</v>
      </c>
      <c r="Y1">
        <v>7</v>
      </c>
      <c r="AA1">
        <v>6</v>
      </c>
      <c r="AC1" s="30">
        <v>5</v>
      </c>
      <c r="AE1" s="30">
        <v>4</v>
      </c>
      <c r="AF1" s="30"/>
      <c r="AG1" s="30" t="s">
        <v>108</v>
      </c>
      <c r="AH1" s="30"/>
      <c r="AI1" s="30">
        <v>2</v>
      </c>
      <c r="AJ1" s="30"/>
      <c r="AK1" s="30">
        <v>1</v>
      </c>
      <c r="AL1" s="30"/>
      <c r="AM1" s="30">
        <v>12</v>
      </c>
      <c r="AO1">
        <v>11</v>
      </c>
      <c r="AQ1" s="1">
        <v>10</v>
      </c>
      <c r="AR1" s="1"/>
      <c r="AS1" s="1">
        <v>9</v>
      </c>
      <c r="AT1" s="1"/>
      <c r="AU1" s="1">
        <v>8</v>
      </c>
      <c r="AV1" s="1">
        <v>7</v>
      </c>
      <c r="AW1" s="1"/>
      <c r="AX1" s="1">
        <v>6</v>
      </c>
      <c r="AY1" s="1"/>
      <c r="AZ1" s="11">
        <v>5</v>
      </c>
      <c r="BA1" s="11" t="s">
        <v>44</v>
      </c>
      <c r="BB1" s="11" t="s">
        <v>103</v>
      </c>
      <c r="BC1" s="41" t="s">
        <v>104</v>
      </c>
      <c r="BD1" s="41"/>
      <c r="BE1" s="41"/>
    </row>
    <row r="2" spans="1:57" x14ac:dyDescent="0.25">
      <c r="A2" s="6">
        <f>C2*B2</f>
        <v>25939.999999999996</v>
      </c>
      <c r="B2" s="7">
        <v>129.69999999999999</v>
      </c>
      <c r="C2" s="20">
        <v>200</v>
      </c>
      <c r="D2" s="28">
        <f>C2/22</f>
        <v>9.0909090909090917</v>
      </c>
      <c r="E2" s="9" t="s">
        <v>0</v>
      </c>
      <c r="F2" s="9" t="s">
        <v>1</v>
      </c>
      <c r="G2" s="14"/>
      <c r="H2" s="14"/>
      <c r="I2" s="20">
        <v>0</v>
      </c>
      <c r="J2" s="35">
        <f>K2/14</f>
        <v>21.428571428571427</v>
      </c>
      <c r="K2" s="20">
        <v>300</v>
      </c>
      <c r="L2" s="35">
        <f>M2/21</f>
        <v>20.476190476190474</v>
      </c>
      <c r="M2" s="20">
        <v>430</v>
      </c>
      <c r="N2" s="35">
        <f>O2/23</f>
        <v>20</v>
      </c>
      <c r="O2" s="20">
        <v>460</v>
      </c>
      <c r="P2" s="35">
        <f>Q2/21</f>
        <v>20.476190476190474</v>
      </c>
      <c r="Q2" s="20">
        <v>430</v>
      </c>
      <c r="R2" s="35">
        <f>S2/22</f>
        <v>16.727272727272727</v>
      </c>
      <c r="S2" s="20">
        <v>368</v>
      </c>
      <c r="T2" s="35">
        <f>U2/21</f>
        <v>16.666666666666668</v>
      </c>
      <c r="U2" s="20">
        <v>350</v>
      </c>
      <c r="V2" s="35">
        <f>W2/21</f>
        <v>16.666666666666668</v>
      </c>
      <c r="W2" s="20">
        <v>350</v>
      </c>
      <c r="X2" s="35">
        <f>Y2/23</f>
        <v>16.739130434782609</v>
      </c>
      <c r="Y2" s="20">
        <v>385</v>
      </c>
      <c r="Z2" s="35">
        <f>AA2/12</f>
        <v>16.666666666666668</v>
      </c>
      <c r="AA2" s="20">
        <v>200</v>
      </c>
      <c r="AB2" s="35">
        <f>AC2/21</f>
        <v>16.666666666666668</v>
      </c>
      <c r="AC2" s="20">
        <v>350</v>
      </c>
      <c r="AD2" s="35">
        <f>AE2/19</f>
        <v>16.842105263157894</v>
      </c>
      <c r="AE2" s="20">
        <v>320</v>
      </c>
      <c r="AF2" s="34">
        <f>AG2/17</f>
        <v>13.529411764705882</v>
      </c>
      <c r="AG2" s="20">
        <v>230</v>
      </c>
      <c r="AH2" s="33">
        <f>AI2/19</f>
        <v>16.578947368421051</v>
      </c>
      <c r="AI2" s="20">
        <v>315</v>
      </c>
      <c r="AJ2" s="32">
        <f>AK2/21</f>
        <v>16.666666666666668</v>
      </c>
      <c r="AK2" s="20">
        <v>350</v>
      </c>
      <c r="AL2" s="28">
        <v>15</v>
      </c>
      <c r="AM2" s="20">
        <v>345</v>
      </c>
      <c r="AN2" s="30">
        <f>AO2/20</f>
        <v>15</v>
      </c>
      <c r="AO2" s="20">
        <v>300</v>
      </c>
      <c r="AP2" s="29">
        <f>AQ2/23</f>
        <v>15</v>
      </c>
      <c r="AQ2" s="20">
        <v>345</v>
      </c>
      <c r="AR2" s="15">
        <f>AS2/20</f>
        <v>15</v>
      </c>
      <c r="AS2" s="20">
        <v>300</v>
      </c>
      <c r="AT2" s="15">
        <f>AU2/21</f>
        <v>15</v>
      </c>
      <c r="AU2" s="20">
        <v>315</v>
      </c>
      <c r="AV2" s="20">
        <v>345</v>
      </c>
      <c r="AW2" s="15">
        <f>AV2/23</f>
        <v>15</v>
      </c>
      <c r="AX2" s="20">
        <v>170</v>
      </c>
      <c r="AY2" s="20">
        <f>AX2/13</f>
        <v>13.076923076923077</v>
      </c>
      <c r="AZ2" s="8">
        <v>330</v>
      </c>
      <c r="BA2" s="8">
        <f>AZ2/22</f>
        <v>15</v>
      </c>
      <c r="BB2" s="4"/>
    </row>
    <row r="3" spans="1:57" x14ac:dyDescent="0.25">
      <c r="A3" s="6">
        <f t="shared" ref="A3:A66" si="0">C3*B3</f>
        <v>31878</v>
      </c>
      <c r="B3" s="9">
        <v>106.26</v>
      </c>
      <c r="C3" s="20">
        <v>300</v>
      </c>
      <c r="D3" s="28">
        <f t="shared" ref="D3:D49" si="1">C3/22</f>
        <v>13.636363636363637</v>
      </c>
      <c r="E3" s="9" t="s">
        <v>0</v>
      </c>
      <c r="F3" s="9" t="s">
        <v>2</v>
      </c>
      <c r="I3" s="20">
        <v>0</v>
      </c>
      <c r="J3" s="35">
        <f t="shared" ref="J3:J49" si="2">K3/14</f>
        <v>40</v>
      </c>
      <c r="K3" s="20">
        <v>560</v>
      </c>
      <c r="L3" s="35">
        <f t="shared" ref="L3:L49" si="3">M3/21</f>
        <v>34.761904761904759</v>
      </c>
      <c r="M3" s="20">
        <v>730</v>
      </c>
      <c r="N3" s="35">
        <f t="shared" ref="N3:N49" si="4">O3/23</f>
        <v>34.782608695652172</v>
      </c>
      <c r="O3" s="20">
        <v>800</v>
      </c>
      <c r="P3" s="35">
        <f t="shared" ref="P3:P49" si="5">Q3/21</f>
        <v>50</v>
      </c>
      <c r="Q3" s="20">
        <v>1050</v>
      </c>
      <c r="R3" s="35">
        <f t="shared" ref="R3:R49" si="6">S3/22</f>
        <v>50</v>
      </c>
      <c r="S3" s="20">
        <v>1100</v>
      </c>
      <c r="T3" s="35">
        <f t="shared" ref="T3:T49" si="7">U3/21</f>
        <v>50</v>
      </c>
      <c r="U3" s="20">
        <v>1050</v>
      </c>
      <c r="V3" s="35">
        <f t="shared" ref="V3:V49" si="8">W3/21</f>
        <v>50</v>
      </c>
      <c r="W3" s="20">
        <v>1050</v>
      </c>
      <c r="X3" s="35">
        <f t="shared" ref="X3:X49" si="9">Y3/23</f>
        <v>50</v>
      </c>
      <c r="Y3" s="20">
        <v>1150</v>
      </c>
      <c r="Z3" s="35">
        <f t="shared" ref="Z3:Z49" si="10">AA3/12</f>
        <v>50</v>
      </c>
      <c r="AA3" s="20">
        <v>600</v>
      </c>
      <c r="AB3" s="35">
        <f t="shared" ref="AB3:AB49" si="11">AC3/21</f>
        <v>30</v>
      </c>
      <c r="AC3" s="20">
        <v>630</v>
      </c>
      <c r="AD3" s="35">
        <f t="shared" ref="AD3:AD49" si="12">AE3/19</f>
        <v>27.105263157894736</v>
      </c>
      <c r="AE3" s="20">
        <v>515</v>
      </c>
      <c r="AF3" s="34">
        <f t="shared" ref="AF3:AF49" si="13">AG3/17</f>
        <v>1.7647058823529411</v>
      </c>
      <c r="AG3" s="20">
        <v>30</v>
      </c>
      <c r="AH3" s="33">
        <f t="shared" ref="AH3:AH49" si="14">AI3/19</f>
        <v>27.105263157894736</v>
      </c>
      <c r="AI3" s="20">
        <v>515</v>
      </c>
      <c r="AJ3" s="32">
        <f t="shared" ref="AJ3:AJ49" si="15">AK3/21</f>
        <v>27.142857142857142</v>
      </c>
      <c r="AK3" s="20">
        <v>570</v>
      </c>
      <c r="AL3" s="28">
        <v>34.7826086956522</v>
      </c>
      <c r="AM3" s="20">
        <v>800</v>
      </c>
      <c r="AN3" s="30">
        <f t="shared" ref="AN3:AN49" si="16">AO3/20</f>
        <v>20</v>
      </c>
      <c r="AO3" s="20">
        <v>400</v>
      </c>
      <c r="AP3" s="29">
        <f t="shared" ref="AP3:AP49" si="17">AQ3/23</f>
        <v>20</v>
      </c>
      <c r="AQ3" s="20">
        <v>460</v>
      </c>
      <c r="AR3" s="15">
        <f t="shared" ref="AR3:AR49" si="18">AS3/20</f>
        <v>20</v>
      </c>
      <c r="AS3" s="20">
        <v>400</v>
      </c>
      <c r="AT3" s="15">
        <f t="shared" ref="AT3:AT49" si="19">AU3/21</f>
        <v>20</v>
      </c>
      <c r="AU3" s="20">
        <v>420</v>
      </c>
      <c r="AV3" s="20">
        <v>460</v>
      </c>
      <c r="AW3" s="15">
        <f t="shared" ref="AW3:AW49" si="20">AV3/23</f>
        <v>20</v>
      </c>
      <c r="AX3" s="20">
        <v>235</v>
      </c>
      <c r="AY3" s="20">
        <f t="shared" ref="AY3:AY49" si="21">AX3/13</f>
        <v>18.076923076923077</v>
      </c>
      <c r="AZ3" s="8">
        <v>440</v>
      </c>
      <c r="BA3" s="8">
        <f t="shared" ref="BA3:BA49" si="22">AZ3/22</f>
        <v>20</v>
      </c>
      <c r="BB3" s="4"/>
    </row>
    <row r="4" spans="1:57" x14ac:dyDescent="0.25">
      <c r="A4" s="6">
        <f t="shared" si="0"/>
        <v>1159.2</v>
      </c>
      <c r="B4" s="9">
        <v>57.96</v>
      </c>
      <c r="C4" s="20">
        <v>20</v>
      </c>
      <c r="D4" s="28">
        <f t="shared" si="1"/>
        <v>0.90909090909090906</v>
      </c>
      <c r="E4" s="9" t="s">
        <v>0</v>
      </c>
      <c r="F4" s="9" t="s">
        <v>3</v>
      </c>
      <c r="I4" s="20">
        <v>0</v>
      </c>
      <c r="J4" s="35">
        <f t="shared" si="2"/>
        <v>1.4285714285714286</v>
      </c>
      <c r="K4" s="20">
        <v>20</v>
      </c>
      <c r="L4" s="35">
        <f t="shared" si="3"/>
        <v>0.95238095238095233</v>
      </c>
      <c r="M4" s="20">
        <v>20</v>
      </c>
      <c r="N4" s="35">
        <f t="shared" si="4"/>
        <v>0.86956521739130432</v>
      </c>
      <c r="O4" s="20">
        <v>20</v>
      </c>
      <c r="P4" s="35">
        <f t="shared" si="5"/>
        <v>0.95238095238095233</v>
      </c>
      <c r="Q4" s="20">
        <v>20</v>
      </c>
      <c r="R4" s="35">
        <f t="shared" si="6"/>
        <v>0.90909090909090906</v>
      </c>
      <c r="S4" s="20">
        <v>20</v>
      </c>
      <c r="T4" s="35">
        <f t="shared" si="7"/>
        <v>0.95238095238095233</v>
      </c>
      <c r="U4" s="20">
        <v>20</v>
      </c>
      <c r="V4" s="35">
        <f t="shared" si="8"/>
        <v>0.95238095238095233</v>
      </c>
      <c r="W4" s="20">
        <v>20</v>
      </c>
      <c r="X4" s="35">
        <f t="shared" si="9"/>
        <v>0.86956521739130432</v>
      </c>
      <c r="Y4" s="20">
        <v>20</v>
      </c>
      <c r="Z4" s="35">
        <f t="shared" si="10"/>
        <v>1.25</v>
      </c>
      <c r="AA4" s="20">
        <v>15</v>
      </c>
      <c r="AB4" s="35">
        <f t="shared" si="11"/>
        <v>0.95238095238095233</v>
      </c>
      <c r="AC4" s="20">
        <v>20</v>
      </c>
      <c r="AD4" s="35">
        <f t="shared" si="12"/>
        <v>1.0526315789473684</v>
      </c>
      <c r="AE4" s="20">
        <v>20</v>
      </c>
      <c r="AF4" s="34">
        <f t="shared" si="13"/>
        <v>0.17647058823529413</v>
      </c>
      <c r="AG4" s="20">
        <v>3</v>
      </c>
      <c r="AH4" s="33">
        <f t="shared" si="14"/>
        <v>1.0526315789473684</v>
      </c>
      <c r="AI4" s="20">
        <v>20</v>
      </c>
      <c r="AJ4" s="32">
        <f t="shared" si="15"/>
        <v>0.95238095238095233</v>
      </c>
      <c r="AK4" s="20">
        <v>20</v>
      </c>
      <c r="AL4" s="28">
        <v>0.86956521739130432</v>
      </c>
      <c r="AM4" s="20">
        <v>20</v>
      </c>
      <c r="AN4" s="30">
        <f t="shared" si="16"/>
        <v>1</v>
      </c>
      <c r="AO4" s="20">
        <v>20</v>
      </c>
      <c r="AP4" s="29">
        <f t="shared" si="17"/>
        <v>0.86956521739130432</v>
      </c>
      <c r="AQ4" s="20">
        <v>20</v>
      </c>
      <c r="AR4" s="15">
        <f t="shared" si="18"/>
        <v>1</v>
      </c>
      <c r="AS4" s="20">
        <v>20</v>
      </c>
      <c r="AT4" s="15">
        <f t="shared" si="19"/>
        <v>0.47619047619047616</v>
      </c>
      <c r="AU4" s="20">
        <v>10</v>
      </c>
      <c r="AV4" s="20">
        <v>0</v>
      </c>
      <c r="AW4" s="15">
        <f t="shared" si="20"/>
        <v>0</v>
      </c>
      <c r="AX4" s="20">
        <v>10</v>
      </c>
      <c r="AY4" s="20">
        <f t="shared" si="21"/>
        <v>0.76923076923076927</v>
      </c>
      <c r="AZ4" s="8">
        <v>22</v>
      </c>
      <c r="BA4" s="8">
        <f t="shared" si="22"/>
        <v>1</v>
      </c>
      <c r="BB4" s="4"/>
    </row>
    <row r="5" spans="1:57" x14ac:dyDescent="0.25">
      <c r="A5" s="6">
        <f t="shared" si="0"/>
        <v>1035</v>
      </c>
      <c r="B5" s="9">
        <v>103.5</v>
      </c>
      <c r="C5" s="20">
        <v>10</v>
      </c>
      <c r="D5" s="28">
        <f t="shared" si="1"/>
        <v>0.45454545454545453</v>
      </c>
      <c r="E5" s="9" t="s">
        <v>0</v>
      </c>
      <c r="F5" s="9" t="s">
        <v>4</v>
      </c>
      <c r="I5" s="20">
        <v>10</v>
      </c>
      <c r="J5" s="35">
        <f t="shared" si="2"/>
        <v>0.7142857142857143</v>
      </c>
      <c r="K5" s="20">
        <v>10</v>
      </c>
      <c r="L5" s="35">
        <f t="shared" si="3"/>
        <v>0.47619047619047616</v>
      </c>
      <c r="M5" s="20">
        <v>10</v>
      </c>
      <c r="N5" s="35">
        <f t="shared" si="4"/>
        <v>0.43478260869565216</v>
      </c>
      <c r="O5" s="20">
        <v>10</v>
      </c>
      <c r="P5" s="35">
        <f t="shared" si="5"/>
        <v>0.47619047619047616</v>
      </c>
      <c r="Q5" s="20">
        <v>10</v>
      </c>
      <c r="R5" s="35">
        <f t="shared" si="6"/>
        <v>0.45454545454545453</v>
      </c>
      <c r="S5" s="20">
        <v>10</v>
      </c>
      <c r="T5" s="35">
        <f t="shared" si="7"/>
        <v>0.47619047619047616</v>
      </c>
      <c r="U5" s="20">
        <v>10</v>
      </c>
      <c r="V5" s="35">
        <f t="shared" si="8"/>
        <v>0.47619047619047616</v>
      </c>
      <c r="W5" s="20">
        <v>10</v>
      </c>
      <c r="X5" s="35">
        <f t="shared" si="9"/>
        <v>0.43478260869565216</v>
      </c>
      <c r="Y5" s="20">
        <v>10</v>
      </c>
      <c r="Z5" s="35">
        <f t="shared" si="10"/>
        <v>0.83333333333333337</v>
      </c>
      <c r="AA5" s="20">
        <v>10</v>
      </c>
      <c r="AB5" s="35">
        <f t="shared" si="11"/>
        <v>0.47619047619047616</v>
      </c>
      <c r="AC5" s="20">
        <v>10</v>
      </c>
      <c r="AD5" s="35">
        <f t="shared" si="12"/>
        <v>0.52631578947368418</v>
      </c>
      <c r="AE5" s="20">
        <v>10</v>
      </c>
      <c r="AF5" s="34">
        <f t="shared" si="13"/>
        <v>0.29411764705882354</v>
      </c>
      <c r="AG5" s="20">
        <v>5</v>
      </c>
      <c r="AH5" s="33">
        <f t="shared" si="14"/>
        <v>0.52631578947368418</v>
      </c>
      <c r="AI5" s="20">
        <v>10</v>
      </c>
      <c r="AJ5" s="32">
        <f t="shared" si="15"/>
        <v>0.47619047619047616</v>
      </c>
      <c r="AK5" s="20">
        <v>10</v>
      </c>
      <c r="AL5" s="28">
        <v>0.43478260869565216</v>
      </c>
      <c r="AM5" s="20">
        <v>10</v>
      </c>
      <c r="AN5" s="30">
        <f t="shared" si="16"/>
        <v>0.5</v>
      </c>
      <c r="AO5" s="20">
        <v>10</v>
      </c>
      <c r="AP5" s="29">
        <f t="shared" si="17"/>
        <v>0.43478260869565216</v>
      </c>
      <c r="AQ5" s="20">
        <v>10</v>
      </c>
      <c r="AR5" s="15">
        <f t="shared" si="18"/>
        <v>0.5</v>
      </c>
      <c r="AS5" s="20">
        <v>10</v>
      </c>
      <c r="AT5" s="15">
        <f t="shared" si="19"/>
        <v>0.47619047619047616</v>
      </c>
      <c r="AU5" s="20">
        <v>10</v>
      </c>
      <c r="AV5" s="20">
        <v>10</v>
      </c>
      <c r="AW5" s="15">
        <f t="shared" si="20"/>
        <v>0.43478260869565216</v>
      </c>
      <c r="AX5" s="20">
        <v>10</v>
      </c>
      <c r="AY5" s="20">
        <f t="shared" si="21"/>
        <v>0.76923076923076927</v>
      </c>
      <c r="AZ5" s="8">
        <v>11</v>
      </c>
      <c r="BA5" s="8">
        <f t="shared" si="22"/>
        <v>0.5</v>
      </c>
      <c r="BB5" s="4"/>
    </row>
    <row r="6" spans="1:57" x14ac:dyDescent="0.25">
      <c r="A6" s="6">
        <f t="shared" si="0"/>
        <v>1617.5</v>
      </c>
      <c r="B6" s="9">
        <v>6.47</v>
      </c>
      <c r="C6" s="20">
        <v>250</v>
      </c>
      <c r="D6" s="28">
        <f t="shared" si="1"/>
        <v>11.363636363636363</v>
      </c>
      <c r="E6" s="9" t="s">
        <v>5</v>
      </c>
      <c r="F6" s="9" t="s">
        <v>6</v>
      </c>
      <c r="I6" s="20">
        <v>50</v>
      </c>
      <c r="J6" s="35">
        <f t="shared" si="2"/>
        <v>14.285714285714286</v>
      </c>
      <c r="K6" s="20">
        <v>200</v>
      </c>
      <c r="L6" s="35">
        <f t="shared" si="3"/>
        <v>11.428571428571429</v>
      </c>
      <c r="M6" s="20">
        <v>240</v>
      </c>
      <c r="N6" s="35">
        <f t="shared" si="4"/>
        <v>10.434782608695652</v>
      </c>
      <c r="O6" s="20">
        <v>240</v>
      </c>
      <c r="P6" s="35">
        <f t="shared" si="5"/>
        <v>11.428571428571429</v>
      </c>
      <c r="Q6" s="20">
        <v>240</v>
      </c>
      <c r="R6" s="35">
        <f t="shared" si="6"/>
        <v>10.909090909090908</v>
      </c>
      <c r="S6" s="20">
        <v>240</v>
      </c>
      <c r="T6" s="35">
        <f t="shared" si="7"/>
        <v>11.428571428571429</v>
      </c>
      <c r="U6" s="20">
        <v>240</v>
      </c>
      <c r="V6" s="35">
        <f t="shared" si="8"/>
        <v>11.428571428571429</v>
      </c>
      <c r="W6" s="20">
        <v>240</v>
      </c>
      <c r="X6" s="35">
        <f t="shared" si="9"/>
        <v>11.521739130434783</v>
      </c>
      <c r="Y6" s="20">
        <v>265</v>
      </c>
      <c r="Z6" s="35">
        <f t="shared" si="10"/>
        <v>11.666666666666666</v>
      </c>
      <c r="AA6" s="20">
        <v>140</v>
      </c>
      <c r="AB6" s="35">
        <f t="shared" si="11"/>
        <v>11.666666666666666</v>
      </c>
      <c r="AC6" s="20">
        <v>245</v>
      </c>
      <c r="AD6" s="35">
        <f t="shared" si="12"/>
        <v>11.684210526315789</v>
      </c>
      <c r="AE6" s="20">
        <v>222</v>
      </c>
      <c r="AF6" s="34">
        <f t="shared" si="13"/>
        <v>2.9411764705882355</v>
      </c>
      <c r="AG6" s="20">
        <v>50</v>
      </c>
      <c r="AH6" s="33">
        <f t="shared" si="14"/>
        <v>11.684210526315789</v>
      </c>
      <c r="AI6" s="20">
        <v>222</v>
      </c>
      <c r="AJ6" s="32">
        <f t="shared" si="15"/>
        <v>11.666666666666666</v>
      </c>
      <c r="AK6" s="20">
        <v>245</v>
      </c>
      <c r="AL6" s="28">
        <v>11.739130434782609</v>
      </c>
      <c r="AM6" s="20">
        <v>270</v>
      </c>
      <c r="AN6" s="31">
        <f t="shared" si="16"/>
        <v>11.75</v>
      </c>
      <c r="AO6" s="20">
        <v>235</v>
      </c>
      <c r="AP6" s="29">
        <f t="shared" si="17"/>
        <v>11.739130434782609</v>
      </c>
      <c r="AQ6" s="20">
        <v>270</v>
      </c>
      <c r="AR6" s="15">
        <f t="shared" si="18"/>
        <v>11.75</v>
      </c>
      <c r="AS6" s="20">
        <v>235</v>
      </c>
      <c r="AT6" s="15">
        <f t="shared" si="19"/>
        <v>11.904761904761905</v>
      </c>
      <c r="AU6" s="20">
        <v>250</v>
      </c>
      <c r="AV6" s="20">
        <v>280</v>
      </c>
      <c r="AW6" s="15">
        <f t="shared" si="20"/>
        <v>12.173913043478262</v>
      </c>
      <c r="AX6" s="20">
        <v>150</v>
      </c>
      <c r="AY6" s="20">
        <f t="shared" si="21"/>
        <v>11.538461538461538</v>
      </c>
      <c r="AZ6" s="8">
        <v>264</v>
      </c>
      <c r="BA6" s="8">
        <f t="shared" si="22"/>
        <v>12</v>
      </c>
      <c r="BB6" s="4"/>
    </row>
    <row r="7" spans="1:57" x14ac:dyDescent="0.25">
      <c r="A7" s="6">
        <f t="shared" si="0"/>
        <v>3420</v>
      </c>
      <c r="B7" s="9">
        <v>38</v>
      </c>
      <c r="C7" s="20">
        <v>90</v>
      </c>
      <c r="D7" s="28">
        <f t="shared" si="1"/>
        <v>4.0909090909090908</v>
      </c>
      <c r="E7" s="9" t="s">
        <v>0</v>
      </c>
      <c r="F7" s="9" t="s">
        <v>45</v>
      </c>
      <c r="I7" s="20">
        <v>30</v>
      </c>
      <c r="J7" s="35">
        <f t="shared" si="2"/>
        <v>5</v>
      </c>
      <c r="K7" s="20">
        <v>70</v>
      </c>
      <c r="L7" s="35">
        <f t="shared" si="3"/>
        <v>4.0476190476190474</v>
      </c>
      <c r="M7" s="20">
        <v>85</v>
      </c>
      <c r="N7" s="35">
        <f t="shared" si="4"/>
        <v>3.6956521739130435</v>
      </c>
      <c r="O7" s="20">
        <v>85</v>
      </c>
      <c r="P7" s="35">
        <f t="shared" si="5"/>
        <v>4.0476190476190474</v>
      </c>
      <c r="Q7" s="20">
        <v>85</v>
      </c>
      <c r="R7" s="35">
        <f t="shared" si="6"/>
        <v>3.8636363636363638</v>
      </c>
      <c r="S7" s="20">
        <v>85</v>
      </c>
      <c r="T7" s="35">
        <f t="shared" si="7"/>
        <v>4.0476190476190474</v>
      </c>
      <c r="U7" s="20">
        <v>85</v>
      </c>
      <c r="V7" s="35">
        <f t="shared" si="8"/>
        <v>4.0476190476190474</v>
      </c>
      <c r="W7" s="20">
        <v>85</v>
      </c>
      <c r="X7" s="35">
        <f t="shared" si="9"/>
        <v>4.1304347826086953</v>
      </c>
      <c r="Y7" s="20">
        <v>95</v>
      </c>
      <c r="Z7" s="35">
        <f t="shared" si="10"/>
        <v>4</v>
      </c>
      <c r="AA7" s="20">
        <v>48</v>
      </c>
      <c r="AB7" s="35">
        <f t="shared" si="11"/>
        <v>4.0476190476190474</v>
      </c>
      <c r="AC7" s="20">
        <v>85</v>
      </c>
      <c r="AD7" s="35">
        <f t="shared" si="12"/>
        <v>3.1578947368421053</v>
      </c>
      <c r="AE7" s="20">
        <v>60</v>
      </c>
      <c r="AF7" s="34">
        <f t="shared" si="13"/>
        <v>2.9411764705882355</v>
      </c>
      <c r="AG7" s="20">
        <v>50</v>
      </c>
      <c r="AH7" s="33">
        <f t="shared" si="14"/>
        <v>3.1578947368421053</v>
      </c>
      <c r="AI7" s="20">
        <v>60</v>
      </c>
      <c r="AJ7" s="32">
        <f t="shared" si="15"/>
        <v>3.0952380952380953</v>
      </c>
      <c r="AK7" s="20">
        <v>65</v>
      </c>
      <c r="AL7" s="28">
        <v>2.6086956521739131</v>
      </c>
      <c r="AM7" s="20">
        <v>60</v>
      </c>
      <c r="AN7" s="31">
        <f t="shared" si="16"/>
        <v>2.5</v>
      </c>
      <c r="AO7" s="20">
        <v>50</v>
      </c>
      <c r="AP7" s="29">
        <f t="shared" si="17"/>
        <v>2.3913043478260869</v>
      </c>
      <c r="AQ7" s="20">
        <v>55</v>
      </c>
      <c r="AR7" s="15">
        <f t="shared" si="18"/>
        <v>2.5</v>
      </c>
      <c r="AS7" s="20">
        <v>50</v>
      </c>
      <c r="AT7" s="15">
        <f t="shared" si="19"/>
        <v>2.3809523809523809</v>
      </c>
      <c r="AU7" s="20">
        <v>50</v>
      </c>
      <c r="AV7" s="20">
        <v>55</v>
      </c>
      <c r="AW7" s="15">
        <f t="shared" si="20"/>
        <v>2.3913043478260869</v>
      </c>
      <c r="AX7" s="20">
        <v>35</v>
      </c>
      <c r="AY7" s="20">
        <f t="shared" si="21"/>
        <v>2.6923076923076925</v>
      </c>
      <c r="AZ7" s="8">
        <v>55</v>
      </c>
      <c r="BA7" s="8">
        <f t="shared" si="22"/>
        <v>2.5</v>
      </c>
      <c r="BB7" s="4"/>
    </row>
    <row r="8" spans="1:57" x14ac:dyDescent="0.25">
      <c r="A8" s="6">
        <f t="shared" si="0"/>
        <v>34734.14</v>
      </c>
      <c r="B8" s="9">
        <v>11.27</v>
      </c>
      <c r="C8" s="20">
        <v>3082</v>
      </c>
      <c r="D8" s="28">
        <f t="shared" si="1"/>
        <v>140.09090909090909</v>
      </c>
      <c r="E8" s="9" t="s">
        <v>7</v>
      </c>
      <c r="F8" s="9" t="s">
        <v>8</v>
      </c>
      <c r="I8" s="20">
        <v>1300</v>
      </c>
      <c r="J8" s="35">
        <f t="shared" si="2"/>
        <v>131.42857142857142</v>
      </c>
      <c r="K8" s="20">
        <v>1840</v>
      </c>
      <c r="L8" s="35">
        <f t="shared" si="3"/>
        <v>120</v>
      </c>
      <c r="M8" s="20">
        <v>2520</v>
      </c>
      <c r="N8" s="35">
        <f t="shared" si="4"/>
        <v>120</v>
      </c>
      <c r="O8" s="20">
        <v>2760</v>
      </c>
      <c r="P8" s="35">
        <f t="shared" si="5"/>
        <v>120</v>
      </c>
      <c r="Q8" s="20">
        <v>2520</v>
      </c>
      <c r="R8" s="35">
        <f t="shared" si="6"/>
        <v>120.45454545454545</v>
      </c>
      <c r="S8" s="20">
        <v>2650</v>
      </c>
      <c r="T8" s="35">
        <f t="shared" si="7"/>
        <v>120</v>
      </c>
      <c r="U8" s="20">
        <v>2520</v>
      </c>
      <c r="V8" s="35">
        <f t="shared" si="8"/>
        <v>120</v>
      </c>
      <c r="W8" s="20">
        <v>2520</v>
      </c>
      <c r="X8" s="35">
        <f t="shared" si="9"/>
        <v>120</v>
      </c>
      <c r="Y8" s="20">
        <v>2760</v>
      </c>
      <c r="Z8" s="35">
        <f t="shared" si="10"/>
        <v>116</v>
      </c>
      <c r="AA8" s="20">
        <v>1392</v>
      </c>
      <c r="AB8" s="35">
        <f t="shared" si="11"/>
        <v>116</v>
      </c>
      <c r="AC8" s="20">
        <v>2436</v>
      </c>
      <c r="AD8" s="35">
        <f t="shared" si="12"/>
        <v>115</v>
      </c>
      <c r="AE8" s="20">
        <v>2185</v>
      </c>
      <c r="AF8" s="34">
        <f t="shared" si="13"/>
        <v>30.352941176470587</v>
      </c>
      <c r="AG8" s="20">
        <v>516</v>
      </c>
      <c r="AH8" s="33">
        <f t="shared" si="14"/>
        <v>115</v>
      </c>
      <c r="AI8" s="20">
        <v>2185</v>
      </c>
      <c r="AJ8" s="32">
        <f t="shared" si="15"/>
        <v>115</v>
      </c>
      <c r="AK8" s="20">
        <v>2415</v>
      </c>
      <c r="AL8" s="28">
        <v>110</v>
      </c>
      <c r="AM8" s="20">
        <v>2530</v>
      </c>
      <c r="AN8" s="31">
        <f t="shared" si="16"/>
        <v>120</v>
      </c>
      <c r="AO8" s="20">
        <v>2400</v>
      </c>
      <c r="AP8" s="29">
        <f t="shared" si="17"/>
        <v>110</v>
      </c>
      <c r="AQ8" s="20">
        <v>2530</v>
      </c>
      <c r="AR8" s="15">
        <f t="shared" si="18"/>
        <v>110</v>
      </c>
      <c r="AS8" s="20">
        <v>2200</v>
      </c>
      <c r="AT8" s="15">
        <f t="shared" si="19"/>
        <v>109.04761904761905</v>
      </c>
      <c r="AU8" s="20">
        <v>2290</v>
      </c>
      <c r="AV8" s="20">
        <v>2500</v>
      </c>
      <c r="AW8" s="15">
        <f t="shared" si="20"/>
        <v>108.69565217391305</v>
      </c>
      <c r="AX8" s="20">
        <v>1500</v>
      </c>
      <c r="AY8" s="20">
        <f t="shared" si="21"/>
        <v>115.38461538461539</v>
      </c>
      <c r="AZ8" s="8">
        <v>2310</v>
      </c>
      <c r="BA8" s="8">
        <f t="shared" si="22"/>
        <v>105</v>
      </c>
      <c r="BB8" s="4"/>
    </row>
    <row r="9" spans="1:57" x14ac:dyDescent="0.25">
      <c r="A9" s="6">
        <f t="shared" si="0"/>
        <v>3790.1</v>
      </c>
      <c r="B9" s="9">
        <v>15.1</v>
      </c>
      <c r="C9" s="20">
        <v>251</v>
      </c>
      <c r="D9" s="28">
        <f t="shared" si="1"/>
        <v>11.409090909090908</v>
      </c>
      <c r="E9" s="9" t="s">
        <v>9</v>
      </c>
      <c r="F9" s="9" t="s">
        <v>10</v>
      </c>
      <c r="I9" s="20">
        <v>0</v>
      </c>
      <c r="J9" s="35">
        <f t="shared" si="2"/>
        <v>11.428571428571429</v>
      </c>
      <c r="K9" s="20">
        <v>160</v>
      </c>
      <c r="L9" s="35">
        <f t="shared" si="3"/>
        <v>10</v>
      </c>
      <c r="M9" s="20">
        <v>210</v>
      </c>
      <c r="N9" s="35">
        <f t="shared" si="4"/>
        <v>9.1304347826086953</v>
      </c>
      <c r="O9" s="20">
        <v>210</v>
      </c>
      <c r="P9" s="35">
        <f t="shared" si="5"/>
        <v>10</v>
      </c>
      <c r="Q9" s="20">
        <v>210</v>
      </c>
      <c r="R9" s="35">
        <f t="shared" si="6"/>
        <v>9.545454545454545</v>
      </c>
      <c r="S9" s="20">
        <v>210</v>
      </c>
      <c r="T9" s="35">
        <f t="shared" si="7"/>
        <v>10</v>
      </c>
      <c r="U9" s="20">
        <v>210</v>
      </c>
      <c r="V9" s="35">
        <f t="shared" si="8"/>
        <v>10</v>
      </c>
      <c r="W9" s="20">
        <v>210</v>
      </c>
      <c r="X9" s="35">
        <f t="shared" si="9"/>
        <v>5.6521739130434785</v>
      </c>
      <c r="Y9" s="20">
        <v>130</v>
      </c>
      <c r="Z9" s="35">
        <f t="shared" si="10"/>
        <v>8.3333333333333339</v>
      </c>
      <c r="AA9" s="20">
        <v>100</v>
      </c>
      <c r="AB9" s="35">
        <f t="shared" si="11"/>
        <v>5.7142857142857144</v>
      </c>
      <c r="AC9" s="20">
        <v>120</v>
      </c>
      <c r="AD9" s="35">
        <f t="shared" si="12"/>
        <v>5.7894736842105265</v>
      </c>
      <c r="AE9" s="20">
        <v>110</v>
      </c>
      <c r="AF9" s="34">
        <f t="shared" si="13"/>
        <v>0.29411764705882354</v>
      </c>
      <c r="AG9" s="20">
        <v>5</v>
      </c>
      <c r="AH9" s="33">
        <f t="shared" si="14"/>
        <v>5</v>
      </c>
      <c r="AI9" s="20">
        <v>95</v>
      </c>
      <c r="AJ9" s="32">
        <f t="shared" si="15"/>
        <v>5</v>
      </c>
      <c r="AK9" s="20">
        <v>105</v>
      </c>
      <c r="AL9" s="28">
        <v>5</v>
      </c>
      <c r="AM9" s="20">
        <v>115</v>
      </c>
      <c r="AN9" s="31">
        <f t="shared" si="16"/>
        <v>5.75</v>
      </c>
      <c r="AO9" s="20">
        <v>115</v>
      </c>
      <c r="AP9" s="29">
        <f t="shared" si="17"/>
        <v>5.9565217391304346</v>
      </c>
      <c r="AQ9" s="20">
        <v>137</v>
      </c>
      <c r="AR9" s="15">
        <f t="shared" si="18"/>
        <v>5</v>
      </c>
      <c r="AS9" s="20">
        <v>100</v>
      </c>
      <c r="AT9" s="15">
        <f t="shared" si="19"/>
        <v>2.3809523809523809</v>
      </c>
      <c r="AU9" s="20">
        <v>50</v>
      </c>
      <c r="AV9" s="20">
        <v>55</v>
      </c>
      <c r="AW9" s="15">
        <f t="shared" si="20"/>
        <v>2.3913043478260869</v>
      </c>
      <c r="AX9" s="20">
        <v>30</v>
      </c>
      <c r="AY9" s="20">
        <f t="shared" si="21"/>
        <v>2.3076923076923075</v>
      </c>
      <c r="AZ9" s="8">
        <v>55</v>
      </c>
      <c r="BA9" s="8">
        <f t="shared" si="22"/>
        <v>2.5</v>
      </c>
      <c r="BB9" s="4"/>
    </row>
    <row r="10" spans="1:57" x14ac:dyDescent="0.25">
      <c r="A10" s="6">
        <f t="shared" si="0"/>
        <v>13464.99</v>
      </c>
      <c r="B10" s="9">
        <v>42.21</v>
      </c>
      <c r="C10" s="20">
        <v>319</v>
      </c>
      <c r="D10" s="28">
        <f t="shared" si="1"/>
        <v>14.5</v>
      </c>
      <c r="E10" s="9" t="s">
        <v>11</v>
      </c>
      <c r="F10" s="9" t="s">
        <v>46</v>
      </c>
      <c r="I10" s="20">
        <v>0</v>
      </c>
      <c r="J10" s="35">
        <f t="shared" si="2"/>
        <v>16.428571428571427</v>
      </c>
      <c r="K10" s="20">
        <v>230</v>
      </c>
      <c r="L10" s="35">
        <f t="shared" si="3"/>
        <v>14.285714285714286</v>
      </c>
      <c r="M10" s="20">
        <v>300</v>
      </c>
      <c r="N10" s="35">
        <f t="shared" si="4"/>
        <v>10.956521739130435</v>
      </c>
      <c r="O10" s="20">
        <v>252</v>
      </c>
      <c r="P10" s="35">
        <f t="shared" si="5"/>
        <v>9.5238095238095237</v>
      </c>
      <c r="Q10" s="20">
        <v>200</v>
      </c>
      <c r="R10" s="35">
        <f t="shared" si="6"/>
        <v>9.0909090909090917</v>
      </c>
      <c r="S10" s="20">
        <v>200</v>
      </c>
      <c r="T10" s="35">
        <f t="shared" si="7"/>
        <v>7.3809523809523814</v>
      </c>
      <c r="U10" s="20">
        <v>155</v>
      </c>
      <c r="V10" s="35">
        <f t="shared" si="8"/>
        <v>10</v>
      </c>
      <c r="W10" s="20">
        <v>210</v>
      </c>
      <c r="X10" s="35">
        <f t="shared" si="9"/>
        <v>7.3913043478260869</v>
      </c>
      <c r="Y10" s="20">
        <v>170</v>
      </c>
      <c r="Z10" s="35">
        <f t="shared" si="10"/>
        <v>8</v>
      </c>
      <c r="AA10" s="20">
        <v>96</v>
      </c>
      <c r="AB10" s="35">
        <f t="shared" si="11"/>
        <v>8</v>
      </c>
      <c r="AC10" s="20">
        <v>168</v>
      </c>
      <c r="AD10" s="35">
        <f t="shared" si="12"/>
        <v>7.3684210526315788</v>
      </c>
      <c r="AE10" s="20">
        <v>140</v>
      </c>
      <c r="AF10" s="34">
        <f t="shared" si="13"/>
        <v>4.0588235294117645</v>
      </c>
      <c r="AG10" s="20">
        <v>69</v>
      </c>
      <c r="AH10" s="33">
        <f t="shared" si="14"/>
        <v>7.3684210526315788</v>
      </c>
      <c r="AI10" s="20">
        <v>140</v>
      </c>
      <c r="AJ10" s="32">
        <f t="shared" si="15"/>
        <v>7.3809523809523814</v>
      </c>
      <c r="AK10" s="20">
        <v>155</v>
      </c>
      <c r="AL10" s="28">
        <v>7.3913043478260869</v>
      </c>
      <c r="AM10" s="20">
        <v>170</v>
      </c>
      <c r="AN10" s="31">
        <f t="shared" si="16"/>
        <v>8</v>
      </c>
      <c r="AO10" s="20">
        <v>160</v>
      </c>
      <c r="AP10" s="29">
        <f t="shared" si="17"/>
        <v>7.1739130434782608</v>
      </c>
      <c r="AQ10" s="20">
        <v>165</v>
      </c>
      <c r="AR10" s="15">
        <f t="shared" si="18"/>
        <v>7.25</v>
      </c>
      <c r="AS10" s="20">
        <v>145</v>
      </c>
      <c r="AT10" s="15">
        <f t="shared" si="19"/>
        <v>7.1428571428571432</v>
      </c>
      <c r="AU10" s="20">
        <v>150</v>
      </c>
      <c r="AV10" s="20">
        <v>170</v>
      </c>
      <c r="AW10" s="15">
        <f t="shared" si="20"/>
        <v>7.3913043478260869</v>
      </c>
      <c r="AX10" s="20">
        <v>105</v>
      </c>
      <c r="AY10" s="20">
        <f t="shared" si="21"/>
        <v>8.0769230769230766</v>
      </c>
      <c r="AZ10" s="8">
        <v>176</v>
      </c>
      <c r="BA10" s="8">
        <f t="shared" si="22"/>
        <v>8</v>
      </c>
      <c r="BB10" s="4"/>
    </row>
    <row r="11" spans="1:57" x14ac:dyDescent="0.25">
      <c r="A11" s="6">
        <f t="shared" si="0"/>
        <v>2110.5</v>
      </c>
      <c r="B11" s="9">
        <v>42.21</v>
      </c>
      <c r="C11" s="20">
        <v>50</v>
      </c>
      <c r="D11" s="28">
        <f t="shared" si="1"/>
        <v>2.2727272727272729</v>
      </c>
      <c r="E11" s="9" t="s">
        <v>11</v>
      </c>
      <c r="F11" s="9" t="s">
        <v>47</v>
      </c>
      <c r="I11" s="20">
        <v>10</v>
      </c>
      <c r="J11" s="35">
        <f t="shared" si="2"/>
        <v>2.5</v>
      </c>
      <c r="K11" s="20">
        <v>35</v>
      </c>
      <c r="L11" s="35">
        <f t="shared" si="3"/>
        <v>2.0476190476190474</v>
      </c>
      <c r="M11" s="20">
        <v>43</v>
      </c>
      <c r="N11" s="35">
        <f t="shared" si="4"/>
        <v>2.1739130434782608</v>
      </c>
      <c r="O11" s="20">
        <v>50</v>
      </c>
      <c r="P11" s="35">
        <f t="shared" si="5"/>
        <v>2.1428571428571428</v>
      </c>
      <c r="Q11" s="20">
        <v>45</v>
      </c>
      <c r="R11" s="35">
        <f t="shared" si="6"/>
        <v>1.9545454545454546</v>
      </c>
      <c r="S11" s="20">
        <v>43</v>
      </c>
      <c r="T11" s="35">
        <f t="shared" si="7"/>
        <v>2</v>
      </c>
      <c r="U11" s="20">
        <v>42</v>
      </c>
      <c r="V11" s="35">
        <f t="shared" si="8"/>
        <v>2</v>
      </c>
      <c r="W11" s="20">
        <v>42</v>
      </c>
      <c r="X11" s="35">
        <f t="shared" si="9"/>
        <v>1.9565217391304348</v>
      </c>
      <c r="Y11" s="20">
        <v>45</v>
      </c>
      <c r="Z11" s="35">
        <f t="shared" si="10"/>
        <v>2</v>
      </c>
      <c r="AA11" s="20">
        <v>24</v>
      </c>
      <c r="AB11" s="35">
        <f t="shared" si="11"/>
        <v>1.9523809523809523</v>
      </c>
      <c r="AC11" s="20">
        <v>41</v>
      </c>
      <c r="AD11" s="35">
        <f t="shared" si="12"/>
        <v>1.4736842105263157</v>
      </c>
      <c r="AE11" s="20">
        <v>28</v>
      </c>
      <c r="AF11" s="34">
        <f t="shared" si="13"/>
        <v>5.8823529411764705E-2</v>
      </c>
      <c r="AG11" s="20">
        <v>1</v>
      </c>
      <c r="AH11" s="33">
        <f t="shared" si="14"/>
        <v>1.4736842105263157</v>
      </c>
      <c r="AI11" s="20">
        <v>28</v>
      </c>
      <c r="AJ11" s="32">
        <f t="shared" si="15"/>
        <v>1.4761904761904763</v>
      </c>
      <c r="AK11" s="20">
        <v>31</v>
      </c>
      <c r="AL11" s="28">
        <v>1.5217391304347827</v>
      </c>
      <c r="AM11" s="20">
        <v>35</v>
      </c>
      <c r="AN11" s="31">
        <f t="shared" si="16"/>
        <v>1.25</v>
      </c>
      <c r="AO11" s="20">
        <v>25</v>
      </c>
      <c r="AP11" s="29">
        <f t="shared" si="17"/>
        <v>0.95652173913043481</v>
      </c>
      <c r="AQ11" s="20">
        <v>22</v>
      </c>
      <c r="AR11" s="15">
        <f t="shared" si="18"/>
        <v>0.85</v>
      </c>
      <c r="AS11" s="20">
        <v>17</v>
      </c>
      <c r="AT11" s="15">
        <f t="shared" si="19"/>
        <v>0.80952380952380953</v>
      </c>
      <c r="AU11" s="20">
        <v>17</v>
      </c>
      <c r="AV11" s="20">
        <v>20</v>
      </c>
      <c r="AW11" s="15">
        <f t="shared" si="20"/>
        <v>0.86956521739130432</v>
      </c>
      <c r="AX11" s="20">
        <v>12</v>
      </c>
      <c r="AY11" s="20">
        <f t="shared" si="21"/>
        <v>0.92307692307692313</v>
      </c>
      <c r="AZ11" s="8">
        <v>20</v>
      </c>
      <c r="BA11" s="8">
        <f t="shared" si="22"/>
        <v>0.90909090909090906</v>
      </c>
      <c r="BB11" s="4"/>
    </row>
    <row r="12" spans="1:57" x14ac:dyDescent="0.25">
      <c r="A12" s="6">
        <f t="shared" si="0"/>
        <v>844.2</v>
      </c>
      <c r="B12" s="9">
        <v>42.21</v>
      </c>
      <c r="C12" s="20">
        <v>20</v>
      </c>
      <c r="D12" s="28">
        <f t="shared" si="1"/>
        <v>0.90909090909090906</v>
      </c>
      <c r="E12" s="9" t="s">
        <v>11</v>
      </c>
      <c r="F12" s="9" t="s">
        <v>12</v>
      </c>
      <c r="I12" s="20">
        <v>5</v>
      </c>
      <c r="J12" s="35">
        <f t="shared" si="2"/>
        <v>1.4285714285714286</v>
      </c>
      <c r="K12" s="20">
        <v>20</v>
      </c>
      <c r="L12" s="35">
        <f t="shared" si="3"/>
        <v>0.95238095238095233</v>
      </c>
      <c r="M12" s="20">
        <v>20</v>
      </c>
      <c r="N12" s="35">
        <f t="shared" si="4"/>
        <v>1</v>
      </c>
      <c r="O12" s="20">
        <v>23</v>
      </c>
      <c r="P12" s="35">
        <f t="shared" si="5"/>
        <v>0.95238095238095233</v>
      </c>
      <c r="Q12" s="20">
        <v>20</v>
      </c>
      <c r="R12" s="35">
        <f t="shared" si="6"/>
        <v>0.90909090909090906</v>
      </c>
      <c r="S12" s="20">
        <v>20</v>
      </c>
      <c r="T12" s="35">
        <f t="shared" si="7"/>
        <v>0.95238095238095233</v>
      </c>
      <c r="U12" s="20">
        <v>20</v>
      </c>
      <c r="V12" s="35">
        <f t="shared" si="8"/>
        <v>0.95238095238095233</v>
      </c>
      <c r="W12" s="20">
        <v>20</v>
      </c>
      <c r="X12" s="35">
        <f t="shared" si="9"/>
        <v>0.86956521739130432</v>
      </c>
      <c r="Y12" s="20">
        <v>20</v>
      </c>
      <c r="Z12" s="35">
        <f t="shared" si="10"/>
        <v>0.83333333333333337</v>
      </c>
      <c r="AA12" s="20">
        <v>10</v>
      </c>
      <c r="AB12" s="35">
        <f t="shared" si="11"/>
        <v>0.95238095238095233</v>
      </c>
      <c r="AC12" s="20">
        <v>20</v>
      </c>
      <c r="AD12" s="35">
        <f t="shared" si="12"/>
        <v>0.52631578947368418</v>
      </c>
      <c r="AE12" s="20">
        <v>10</v>
      </c>
      <c r="AF12" s="34">
        <f t="shared" si="13"/>
        <v>1.7058823529411764</v>
      </c>
      <c r="AG12" s="20">
        <v>29</v>
      </c>
      <c r="AH12" s="33">
        <f t="shared" si="14"/>
        <v>0.52631578947368418</v>
      </c>
      <c r="AI12" s="20">
        <v>10</v>
      </c>
      <c r="AJ12" s="32">
        <f t="shared" si="15"/>
        <v>0.47619047619047616</v>
      </c>
      <c r="AK12" s="20">
        <v>10</v>
      </c>
      <c r="AL12" s="28">
        <v>0.34782608695652173</v>
      </c>
      <c r="AM12" s="20">
        <v>8</v>
      </c>
      <c r="AN12" s="31">
        <f t="shared" si="16"/>
        <v>0.25</v>
      </c>
      <c r="AO12" s="20">
        <v>5</v>
      </c>
      <c r="AP12" s="29">
        <f t="shared" si="17"/>
        <v>0.21739130434782608</v>
      </c>
      <c r="AQ12" s="20">
        <v>5</v>
      </c>
      <c r="AR12" s="15">
        <f t="shared" si="18"/>
        <v>0.25</v>
      </c>
      <c r="AS12" s="20">
        <v>5</v>
      </c>
      <c r="AT12" s="15">
        <f t="shared" si="19"/>
        <v>0.23809523809523808</v>
      </c>
      <c r="AU12" s="20">
        <v>5</v>
      </c>
      <c r="AV12" s="20">
        <v>5</v>
      </c>
      <c r="AW12" s="15">
        <f t="shared" si="20"/>
        <v>0.21739130434782608</v>
      </c>
      <c r="AX12" s="20">
        <v>5</v>
      </c>
      <c r="AY12" s="20">
        <f t="shared" si="21"/>
        <v>0.38461538461538464</v>
      </c>
      <c r="AZ12" s="8">
        <v>5</v>
      </c>
      <c r="BA12" s="8">
        <f t="shared" si="22"/>
        <v>0.22727272727272727</v>
      </c>
      <c r="BB12" s="4"/>
    </row>
    <row r="13" spans="1:57" x14ac:dyDescent="0.25">
      <c r="A13" s="6">
        <f t="shared" si="0"/>
        <v>5290</v>
      </c>
      <c r="B13" s="9">
        <v>23</v>
      </c>
      <c r="C13" s="20">
        <v>230</v>
      </c>
      <c r="D13" s="28">
        <f t="shared" si="1"/>
        <v>10.454545454545455</v>
      </c>
      <c r="E13" s="9" t="s">
        <v>49</v>
      </c>
      <c r="F13" s="9" t="s">
        <v>48</v>
      </c>
      <c r="I13" s="20">
        <v>65</v>
      </c>
      <c r="J13" s="35">
        <f t="shared" si="2"/>
        <v>15.714285714285714</v>
      </c>
      <c r="K13" s="20">
        <v>220</v>
      </c>
      <c r="L13" s="35">
        <f t="shared" si="3"/>
        <v>10.476190476190476</v>
      </c>
      <c r="M13" s="20">
        <v>220</v>
      </c>
      <c r="N13" s="35">
        <f t="shared" si="4"/>
        <v>9.3478260869565215</v>
      </c>
      <c r="O13" s="20">
        <v>215</v>
      </c>
      <c r="P13" s="35">
        <f t="shared" si="5"/>
        <v>10</v>
      </c>
      <c r="Q13" s="20">
        <v>210</v>
      </c>
      <c r="R13" s="35">
        <f t="shared" si="6"/>
        <v>9</v>
      </c>
      <c r="S13" s="20">
        <v>198</v>
      </c>
      <c r="T13" s="35">
        <f t="shared" si="7"/>
        <v>0</v>
      </c>
      <c r="U13" s="36"/>
      <c r="V13" s="35">
        <f t="shared" si="8"/>
        <v>0</v>
      </c>
      <c r="W13" s="36"/>
      <c r="X13" s="35">
        <f t="shared" si="9"/>
        <v>9.1304347826086953</v>
      </c>
      <c r="Y13" s="20">
        <v>210</v>
      </c>
      <c r="Z13" s="35">
        <f t="shared" si="10"/>
        <v>9</v>
      </c>
      <c r="AA13" s="20">
        <v>108</v>
      </c>
      <c r="AB13" s="35">
        <f t="shared" si="11"/>
        <v>9.0476190476190474</v>
      </c>
      <c r="AC13" s="20">
        <v>190</v>
      </c>
      <c r="AD13" s="35">
        <f t="shared" si="12"/>
        <v>9</v>
      </c>
      <c r="AE13" s="20">
        <v>171</v>
      </c>
      <c r="AF13" s="34">
        <f t="shared" si="13"/>
        <v>0.11764705882352941</v>
      </c>
      <c r="AG13" s="20">
        <v>2</v>
      </c>
      <c r="AH13" s="33">
        <f t="shared" si="14"/>
        <v>9</v>
      </c>
      <c r="AI13" s="20">
        <v>171</v>
      </c>
      <c r="AJ13" s="32">
        <f t="shared" si="15"/>
        <v>9.0476190476190474</v>
      </c>
      <c r="AK13" s="20">
        <v>190</v>
      </c>
      <c r="AL13" s="28">
        <v>7.6086956521739131</v>
      </c>
      <c r="AM13" s="20">
        <v>175</v>
      </c>
      <c r="AN13" s="31">
        <f t="shared" si="16"/>
        <v>7.5</v>
      </c>
      <c r="AO13" s="20">
        <v>150</v>
      </c>
      <c r="AP13" s="29">
        <f t="shared" si="17"/>
        <v>7.6086956521739131</v>
      </c>
      <c r="AQ13" s="20">
        <v>175</v>
      </c>
      <c r="AR13" s="15">
        <f t="shared" si="18"/>
        <v>7.5</v>
      </c>
      <c r="AS13" s="20">
        <v>150</v>
      </c>
      <c r="AT13" s="15">
        <f t="shared" si="19"/>
        <v>7.6190476190476186</v>
      </c>
      <c r="AU13" s="20">
        <v>160</v>
      </c>
      <c r="AV13" s="20">
        <v>180</v>
      </c>
      <c r="AW13" s="15">
        <f t="shared" si="20"/>
        <v>7.8260869565217392</v>
      </c>
      <c r="AX13" s="20">
        <v>100</v>
      </c>
      <c r="AY13" s="20">
        <f t="shared" si="21"/>
        <v>7.6923076923076925</v>
      </c>
      <c r="AZ13" s="8">
        <v>180</v>
      </c>
      <c r="BA13" s="8">
        <f t="shared" si="22"/>
        <v>8.1818181818181817</v>
      </c>
      <c r="BB13" s="4"/>
    </row>
    <row r="14" spans="1:57" x14ac:dyDescent="0.25">
      <c r="A14" s="6">
        <f t="shared" si="0"/>
        <v>94300.800000000003</v>
      </c>
      <c r="B14" s="9">
        <v>18.8</v>
      </c>
      <c r="C14" s="20">
        <v>5016</v>
      </c>
      <c r="D14" s="28">
        <f t="shared" si="1"/>
        <v>228</v>
      </c>
      <c r="E14" s="9" t="s">
        <v>13</v>
      </c>
      <c r="F14" s="9" t="s">
        <v>14</v>
      </c>
      <c r="I14" s="20">
        <v>1000</v>
      </c>
      <c r="J14" s="35">
        <f t="shared" si="2"/>
        <v>228.57142857142858</v>
      </c>
      <c r="K14" s="20">
        <v>3200</v>
      </c>
      <c r="L14" s="35">
        <f t="shared" si="3"/>
        <v>195.23809523809524</v>
      </c>
      <c r="M14" s="20">
        <v>4100</v>
      </c>
      <c r="N14" s="35">
        <f t="shared" si="4"/>
        <v>195.21739130434781</v>
      </c>
      <c r="O14" s="20">
        <v>4490</v>
      </c>
      <c r="P14" s="35">
        <f t="shared" si="5"/>
        <v>195.23809523809524</v>
      </c>
      <c r="Q14" s="20">
        <v>4100</v>
      </c>
      <c r="R14" s="35">
        <f t="shared" si="6"/>
        <v>200</v>
      </c>
      <c r="S14" s="20">
        <v>4400</v>
      </c>
      <c r="T14" s="35">
        <f t="shared" si="7"/>
        <v>195.23809523809524</v>
      </c>
      <c r="U14" s="20">
        <v>4100</v>
      </c>
      <c r="V14" s="35">
        <f t="shared" si="8"/>
        <v>195.23809523809524</v>
      </c>
      <c r="W14" s="20">
        <v>4100</v>
      </c>
      <c r="X14" s="35">
        <f t="shared" si="9"/>
        <v>195.65217391304347</v>
      </c>
      <c r="Y14" s="20">
        <v>4500</v>
      </c>
      <c r="Z14" s="35">
        <f t="shared" si="10"/>
        <v>191.66666666666666</v>
      </c>
      <c r="AA14" s="20">
        <v>2300</v>
      </c>
      <c r="AB14" s="35">
        <f t="shared" si="11"/>
        <v>190.47619047619048</v>
      </c>
      <c r="AC14" s="20">
        <v>4000</v>
      </c>
      <c r="AD14" s="35">
        <f t="shared" si="12"/>
        <v>181.57894736842104</v>
      </c>
      <c r="AE14" s="20">
        <v>3450</v>
      </c>
      <c r="AF14" s="34">
        <f t="shared" si="13"/>
        <v>14.705882352941176</v>
      </c>
      <c r="AG14" s="20">
        <v>250</v>
      </c>
      <c r="AH14" s="33">
        <f t="shared" si="14"/>
        <v>169.47368421052633</v>
      </c>
      <c r="AI14" s="20">
        <v>3220</v>
      </c>
      <c r="AJ14" s="32">
        <f t="shared" si="15"/>
        <v>182.38095238095238</v>
      </c>
      <c r="AK14" s="20">
        <v>3830</v>
      </c>
      <c r="AL14" s="28">
        <v>182.60869565217391</v>
      </c>
      <c r="AM14" s="20">
        <v>4200</v>
      </c>
      <c r="AN14" s="31">
        <f t="shared" si="16"/>
        <v>182.5</v>
      </c>
      <c r="AO14" s="20">
        <v>3650</v>
      </c>
      <c r="AP14" s="29">
        <f t="shared" si="17"/>
        <v>182.60869565217391</v>
      </c>
      <c r="AQ14" s="20">
        <v>4200</v>
      </c>
      <c r="AR14" s="15">
        <f t="shared" si="18"/>
        <v>182.5</v>
      </c>
      <c r="AS14" s="20">
        <v>3650</v>
      </c>
      <c r="AT14" s="15">
        <f t="shared" si="19"/>
        <v>173.8095238095238</v>
      </c>
      <c r="AU14" s="20">
        <v>3650</v>
      </c>
      <c r="AV14" s="20">
        <v>4000</v>
      </c>
      <c r="AW14" s="15">
        <f t="shared" si="20"/>
        <v>173.91304347826087</v>
      </c>
      <c r="AX14" s="20">
        <v>2700</v>
      </c>
      <c r="AY14" s="20">
        <f t="shared" si="21"/>
        <v>207.69230769230768</v>
      </c>
      <c r="AZ14" s="8">
        <v>3600</v>
      </c>
      <c r="BA14" s="8">
        <f t="shared" si="22"/>
        <v>163.63636363636363</v>
      </c>
      <c r="BB14" s="4"/>
    </row>
    <row r="15" spans="1:57" x14ac:dyDescent="0.25">
      <c r="A15" s="6">
        <f t="shared" si="0"/>
        <v>3921.5</v>
      </c>
      <c r="B15" s="9">
        <v>5.75</v>
      </c>
      <c r="C15" s="20">
        <v>682</v>
      </c>
      <c r="D15" s="28">
        <f t="shared" si="1"/>
        <v>31</v>
      </c>
      <c r="E15" s="9" t="s">
        <v>50</v>
      </c>
      <c r="F15" s="9" t="s">
        <v>105</v>
      </c>
      <c r="I15" s="20">
        <v>150</v>
      </c>
      <c r="J15" s="35">
        <f t="shared" si="2"/>
        <v>0</v>
      </c>
      <c r="K15" s="20"/>
      <c r="L15" s="35">
        <f t="shared" si="3"/>
        <v>31</v>
      </c>
      <c r="M15" s="20">
        <v>651</v>
      </c>
      <c r="N15" s="35">
        <f t="shared" si="4"/>
        <v>31</v>
      </c>
      <c r="O15" s="20">
        <v>713</v>
      </c>
      <c r="P15" s="35">
        <f t="shared" si="5"/>
        <v>31</v>
      </c>
      <c r="Q15" s="20">
        <v>651</v>
      </c>
      <c r="R15" s="35">
        <f t="shared" si="6"/>
        <v>31</v>
      </c>
      <c r="S15" s="20">
        <v>682</v>
      </c>
      <c r="T15" s="35">
        <f t="shared" si="7"/>
        <v>31</v>
      </c>
      <c r="U15" s="20">
        <v>651</v>
      </c>
      <c r="V15" s="35">
        <f t="shared" si="8"/>
        <v>31</v>
      </c>
      <c r="W15" s="20">
        <v>651</v>
      </c>
      <c r="X15" s="35">
        <f t="shared" si="9"/>
        <v>30.956521739130434</v>
      </c>
      <c r="Y15" s="20">
        <v>712</v>
      </c>
      <c r="Z15" s="35">
        <f t="shared" si="10"/>
        <v>31</v>
      </c>
      <c r="AA15" s="20">
        <v>372</v>
      </c>
      <c r="AB15" s="35">
        <f t="shared" si="11"/>
        <v>30.952380952380953</v>
      </c>
      <c r="AC15" s="20">
        <v>650</v>
      </c>
      <c r="AD15" s="35">
        <f t="shared" si="12"/>
        <v>31</v>
      </c>
      <c r="AE15" s="20">
        <v>589</v>
      </c>
      <c r="AF15" s="34">
        <f t="shared" si="13"/>
        <v>5.5882352941176467</v>
      </c>
      <c r="AG15" s="20">
        <v>95</v>
      </c>
      <c r="AH15" s="33">
        <f t="shared" si="14"/>
        <v>31</v>
      </c>
      <c r="AI15" s="20">
        <v>589</v>
      </c>
      <c r="AJ15" s="32">
        <f t="shared" si="15"/>
        <v>30.952380952380953</v>
      </c>
      <c r="AK15" s="20">
        <v>650</v>
      </c>
      <c r="AL15" s="28">
        <v>31</v>
      </c>
      <c r="AM15" s="20">
        <v>713</v>
      </c>
      <c r="AN15" s="31">
        <f t="shared" si="16"/>
        <v>31</v>
      </c>
      <c r="AO15" s="20">
        <v>620</v>
      </c>
      <c r="AP15" s="29">
        <f t="shared" si="17"/>
        <v>31</v>
      </c>
      <c r="AQ15" s="20">
        <v>713</v>
      </c>
      <c r="AR15" s="15">
        <f t="shared" si="18"/>
        <v>31</v>
      </c>
      <c r="AS15" s="20">
        <v>620</v>
      </c>
      <c r="AT15" s="15">
        <f t="shared" si="19"/>
        <v>30.952380952380953</v>
      </c>
      <c r="AU15" s="20">
        <v>650</v>
      </c>
      <c r="AV15" s="20">
        <v>620</v>
      </c>
      <c r="AW15" s="15">
        <f t="shared" si="20"/>
        <v>26.956521739130434</v>
      </c>
      <c r="AX15" s="20">
        <v>420</v>
      </c>
      <c r="AY15" s="20">
        <f t="shared" si="21"/>
        <v>32.307692307692307</v>
      </c>
      <c r="AZ15" s="8">
        <v>620</v>
      </c>
      <c r="BA15" s="8">
        <f t="shared" si="22"/>
        <v>28.181818181818183</v>
      </c>
      <c r="BB15" s="4"/>
    </row>
    <row r="16" spans="1:57" x14ac:dyDescent="0.25">
      <c r="A16" s="6">
        <f t="shared" si="0"/>
        <v>4427.5</v>
      </c>
      <c r="B16" s="9">
        <v>40.25</v>
      </c>
      <c r="C16" s="20">
        <v>110</v>
      </c>
      <c r="D16" s="28">
        <f t="shared" si="1"/>
        <v>5</v>
      </c>
      <c r="E16" s="9" t="s">
        <v>52</v>
      </c>
      <c r="F16" s="9" t="s">
        <v>51</v>
      </c>
      <c r="I16" s="20">
        <v>0</v>
      </c>
      <c r="J16" s="35">
        <f t="shared" si="2"/>
        <v>3.5714285714285716</v>
      </c>
      <c r="K16" s="20">
        <v>50</v>
      </c>
      <c r="L16" s="35">
        <f t="shared" si="3"/>
        <v>5</v>
      </c>
      <c r="M16" s="20">
        <v>105</v>
      </c>
      <c r="N16" s="35">
        <f t="shared" si="4"/>
        <v>4.9565217391304346</v>
      </c>
      <c r="O16" s="20">
        <v>114</v>
      </c>
      <c r="P16" s="35">
        <f t="shared" si="5"/>
        <v>5</v>
      </c>
      <c r="Q16" s="20">
        <v>105</v>
      </c>
      <c r="R16" s="35">
        <f t="shared" si="6"/>
        <v>5</v>
      </c>
      <c r="S16" s="20">
        <v>110</v>
      </c>
      <c r="T16" s="35">
        <f t="shared" si="7"/>
        <v>5</v>
      </c>
      <c r="U16" s="20">
        <v>105</v>
      </c>
      <c r="V16" s="35">
        <f t="shared" si="8"/>
        <v>4.7619047619047619</v>
      </c>
      <c r="W16" s="20">
        <v>100</v>
      </c>
      <c r="X16" s="35">
        <f t="shared" si="9"/>
        <v>5</v>
      </c>
      <c r="Y16" s="20">
        <v>115</v>
      </c>
      <c r="Z16" s="35">
        <f t="shared" si="10"/>
        <v>5</v>
      </c>
      <c r="AA16" s="20">
        <v>60</v>
      </c>
      <c r="AB16" s="35">
        <f t="shared" si="11"/>
        <v>5</v>
      </c>
      <c r="AC16" s="20">
        <v>105</v>
      </c>
      <c r="AD16" s="35">
        <f t="shared" si="12"/>
        <v>4.4736842105263159</v>
      </c>
      <c r="AE16" s="20">
        <v>85</v>
      </c>
      <c r="AF16" s="34">
        <f t="shared" si="13"/>
        <v>3.6470588235294117</v>
      </c>
      <c r="AG16" s="20">
        <v>62</v>
      </c>
      <c r="AH16" s="33">
        <f t="shared" si="14"/>
        <v>1.0526315789473684</v>
      </c>
      <c r="AI16" s="20">
        <v>20</v>
      </c>
      <c r="AJ16" s="32">
        <f t="shared" si="15"/>
        <v>0.95238095238095233</v>
      </c>
      <c r="AK16" s="20">
        <v>20</v>
      </c>
      <c r="AL16" s="28">
        <v>0.65217391304347827</v>
      </c>
      <c r="AM16" s="20">
        <v>15</v>
      </c>
      <c r="AN16" s="31">
        <f t="shared" si="16"/>
        <v>0.25</v>
      </c>
      <c r="AO16" s="20">
        <v>5</v>
      </c>
      <c r="AP16" s="29">
        <f t="shared" si="17"/>
        <v>4.3478260869565215</v>
      </c>
      <c r="AQ16" s="20">
        <v>100</v>
      </c>
      <c r="AR16" s="15">
        <f t="shared" si="18"/>
        <v>4.5999999999999996</v>
      </c>
      <c r="AS16" s="20">
        <v>92</v>
      </c>
      <c r="AT16" s="15">
        <f t="shared" si="19"/>
        <v>4.5238095238095237</v>
      </c>
      <c r="AU16" s="20">
        <v>95</v>
      </c>
      <c r="AV16" s="20">
        <v>100</v>
      </c>
      <c r="AW16" s="15">
        <f t="shared" si="20"/>
        <v>4.3478260869565215</v>
      </c>
      <c r="AX16" s="20">
        <v>80</v>
      </c>
      <c r="AY16" s="20">
        <f t="shared" si="21"/>
        <v>6.1538461538461542</v>
      </c>
      <c r="AZ16" s="8">
        <v>80</v>
      </c>
      <c r="BA16" s="8">
        <f t="shared" si="22"/>
        <v>3.6363636363636362</v>
      </c>
      <c r="BB16" s="4"/>
    </row>
    <row r="17" spans="1:54" x14ac:dyDescent="0.25">
      <c r="A17" s="6">
        <f t="shared" si="0"/>
        <v>14278</v>
      </c>
      <c r="B17" s="9">
        <v>59</v>
      </c>
      <c r="C17" s="20">
        <v>242</v>
      </c>
      <c r="D17" s="28">
        <f t="shared" si="1"/>
        <v>11</v>
      </c>
      <c r="E17" s="9" t="s">
        <v>52</v>
      </c>
      <c r="F17" s="9" t="s">
        <v>53</v>
      </c>
      <c r="I17" s="20">
        <v>55</v>
      </c>
      <c r="J17" s="35">
        <f t="shared" si="2"/>
        <v>7.1428571428571432</v>
      </c>
      <c r="K17" s="20">
        <v>100</v>
      </c>
      <c r="L17" s="35">
        <f t="shared" si="3"/>
        <v>10.952380952380953</v>
      </c>
      <c r="M17" s="20">
        <v>230</v>
      </c>
      <c r="N17" s="35">
        <f t="shared" si="4"/>
        <v>10.869565217391305</v>
      </c>
      <c r="O17" s="20">
        <v>250</v>
      </c>
      <c r="P17" s="35">
        <f t="shared" si="5"/>
        <v>23</v>
      </c>
      <c r="Q17" s="20">
        <v>483</v>
      </c>
      <c r="R17" s="35">
        <f t="shared" si="6"/>
        <v>23.636363636363637</v>
      </c>
      <c r="S17" s="20">
        <v>520</v>
      </c>
      <c r="T17" s="35">
        <f t="shared" si="7"/>
        <v>23</v>
      </c>
      <c r="U17" s="20">
        <v>483</v>
      </c>
      <c r="V17" s="35">
        <f t="shared" si="8"/>
        <v>23</v>
      </c>
      <c r="W17" s="20">
        <v>483</v>
      </c>
      <c r="X17" s="35">
        <f t="shared" si="9"/>
        <v>23.913043478260871</v>
      </c>
      <c r="Y17" s="20">
        <v>550</v>
      </c>
      <c r="Z17" s="35">
        <f t="shared" si="10"/>
        <v>22</v>
      </c>
      <c r="AA17" s="20">
        <v>264</v>
      </c>
      <c r="AB17" s="35">
        <f t="shared" si="11"/>
        <v>21.952380952380953</v>
      </c>
      <c r="AC17" s="20">
        <v>461</v>
      </c>
      <c r="AD17" s="35">
        <f t="shared" si="12"/>
        <v>22</v>
      </c>
      <c r="AE17" s="20">
        <v>418</v>
      </c>
      <c r="AF17" s="34">
        <f t="shared" si="13"/>
        <v>0</v>
      </c>
      <c r="AG17" s="20">
        <v>0</v>
      </c>
      <c r="AH17" s="33">
        <f t="shared" si="14"/>
        <v>21.684210526315791</v>
      </c>
      <c r="AI17" s="20">
        <v>412</v>
      </c>
      <c r="AJ17" s="32">
        <f t="shared" si="15"/>
        <v>21.666666666666668</v>
      </c>
      <c r="AK17" s="20">
        <v>455</v>
      </c>
      <c r="AL17" s="28">
        <v>21.739130434782609</v>
      </c>
      <c r="AM17" s="20">
        <v>500</v>
      </c>
      <c r="AN17" s="31">
        <f t="shared" si="16"/>
        <v>23</v>
      </c>
      <c r="AO17" s="20">
        <v>460</v>
      </c>
      <c r="AP17" s="29">
        <f t="shared" si="17"/>
        <v>23</v>
      </c>
      <c r="AQ17" s="20">
        <v>529</v>
      </c>
      <c r="AR17" s="15">
        <f t="shared" si="18"/>
        <v>23</v>
      </c>
      <c r="AS17" s="20">
        <v>460</v>
      </c>
      <c r="AT17" s="15">
        <f t="shared" si="19"/>
        <v>23.095238095238095</v>
      </c>
      <c r="AU17" s="20">
        <v>485</v>
      </c>
      <c r="AV17" s="20">
        <v>530</v>
      </c>
      <c r="AW17" s="15">
        <f t="shared" si="20"/>
        <v>23.043478260869566</v>
      </c>
      <c r="AX17" s="20">
        <v>400</v>
      </c>
      <c r="AY17" s="20">
        <f t="shared" si="21"/>
        <v>30.76923076923077</v>
      </c>
      <c r="AZ17" s="8">
        <v>528</v>
      </c>
      <c r="BA17" s="8">
        <f t="shared" si="22"/>
        <v>24</v>
      </c>
      <c r="BB17" s="4"/>
    </row>
    <row r="18" spans="1:54" x14ac:dyDescent="0.25">
      <c r="A18" s="6">
        <f t="shared" si="0"/>
        <v>6779.5199999999995</v>
      </c>
      <c r="B18" s="9">
        <v>1.44</v>
      </c>
      <c r="C18" s="20">
        <v>4708</v>
      </c>
      <c r="D18" s="28">
        <f t="shared" si="1"/>
        <v>214</v>
      </c>
      <c r="E18" s="9" t="s">
        <v>55</v>
      </c>
      <c r="F18" s="9" t="s">
        <v>54</v>
      </c>
      <c r="I18" s="20">
        <v>0</v>
      </c>
      <c r="J18" s="35">
        <f t="shared" si="2"/>
        <v>214</v>
      </c>
      <c r="K18" s="20">
        <v>2996</v>
      </c>
      <c r="L18" s="35">
        <f t="shared" si="3"/>
        <v>214.28571428571428</v>
      </c>
      <c r="M18" s="20">
        <v>4500</v>
      </c>
      <c r="N18" s="35">
        <f t="shared" si="4"/>
        <v>214.34782608695653</v>
      </c>
      <c r="O18" s="20">
        <v>4930</v>
      </c>
      <c r="P18" s="35">
        <f t="shared" si="5"/>
        <v>214.28571428571428</v>
      </c>
      <c r="Q18" s="20">
        <v>4500</v>
      </c>
      <c r="R18" s="35">
        <f t="shared" si="6"/>
        <v>214.54545454545453</v>
      </c>
      <c r="S18" s="20">
        <v>4720</v>
      </c>
      <c r="T18" s="35">
        <f t="shared" si="7"/>
        <v>214.28571428571428</v>
      </c>
      <c r="U18" s="20">
        <v>4500</v>
      </c>
      <c r="V18" s="35">
        <f t="shared" si="8"/>
        <v>214.28571428571428</v>
      </c>
      <c r="W18" s="20">
        <v>4500</v>
      </c>
      <c r="X18" s="35">
        <f t="shared" si="9"/>
        <v>800</v>
      </c>
      <c r="Y18" s="20">
        <v>18400</v>
      </c>
      <c r="Z18" s="35">
        <f t="shared" si="10"/>
        <v>800</v>
      </c>
      <c r="AA18" s="20">
        <v>9600</v>
      </c>
      <c r="AB18" s="35">
        <f t="shared" si="11"/>
        <v>200</v>
      </c>
      <c r="AC18" s="20">
        <v>4200</v>
      </c>
      <c r="AD18" s="35">
        <f t="shared" si="12"/>
        <v>200</v>
      </c>
      <c r="AE18" s="20">
        <v>3800</v>
      </c>
      <c r="AF18" s="34">
        <f t="shared" si="13"/>
        <v>0</v>
      </c>
      <c r="AG18" s="20">
        <v>0</v>
      </c>
      <c r="AH18" s="33">
        <f t="shared" si="14"/>
        <v>200</v>
      </c>
      <c r="AI18" s="20">
        <v>3800</v>
      </c>
      <c r="AJ18" s="32">
        <f t="shared" si="15"/>
        <v>200</v>
      </c>
      <c r="AK18" s="20">
        <v>4200</v>
      </c>
      <c r="AL18" s="28">
        <v>152.17391304347825</v>
      </c>
      <c r="AM18" s="20">
        <v>3500</v>
      </c>
      <c r="AN18" s="31">
        <f t="shared" si="16"/>
        <v>152.5</v>
      </c>
      <c r="AO18" s="20">
        <v>3050</v>
      </c>
      <c r="AP18" s="29">
        <f t="shared" si="17"/>
        <v>152.17391304347825</v>
      </c>
      <c r="AQ18" s="20">
        <v>3500</v>
      </c>
      <c r="AR18" s="15">
        <f t="shared" si="18"/>
        <v>137.5</v>
      </c>
      <c r="AS18" s="20">
        <v>2750</v>
      </c>
      <c r="AT18" s="15">
        <f t="shared" si="19"/>
        <v>137.38095238095238</v>
      </c>
      <c r="AU18" s="20">
        <v>2885</v>
      </c>
      <c r="AV18" s="20">
        <v>3150</v>
      </c>
      <c r="AW18" s="15">
        <f t="shared" si="20"/>
        <v>136.95652173913044</v>
      </c>
      <c r="AX18" s="20">
        <v>2880</v>
      </c>
      <c r="AY18" s="20">
        <f t="shared" si="21"/>
        <v>221.53846153846155</v>
      </c>
      <c r="AZ18" s="8">
        <v>3000</v>
      </c>
      <c r="BA18" s="8">
        <f t="shared" si="22"/>
        <v>136.36363636363637</v>
      </c>
      <c r="BB18" s="4"/>
    </row>
    <row r="19" spans="1:54" x14ac:dyDescent="0.25">
      <c r="A19" s="6">
        <f t="shared" si="0"/>
        <v>120890</v>
      </c>
      <c r="B19" s="9">
        <v>10.99</v>
      </c>
      <c r="C19" s="20">
        <v>11000</v>
      </c>
      <c r="D19" s="28">
        <f t="shared" si="1"/>
        <v>500</v>
      </c>
      <c r="E19" s="9" t="s">
        <v>55</v>
      </c>
      <c r="F19" s="9" t="s">
        <v>56</v>
      </c>
      <c r="I19" s="20">
        <v>4000</v>
      </c>
      <c r="J19" s="35">
        <f t="shared" si="2"/>
        <v>521.42857142857144</v>
      </c>
      <c r="K19" s="20">
        <v>7300</v>
      </c>
      <c r="L19" s="35">
        <f t="shared" si="3"/>
        <v>500</v>
      </c>
      <c r="M19" s="20">
        <v>10500</v>
      </c>
      <c r="N19" s="35">
        <f t="shared" si="4"/>
        <v>500</v>
      </c>
      <c r="O19" s="20">
        <v>11500</v>
      </c>
      <c r="P19" s="35">
        <f t="shared" si="5"/>
        <v>500</v>
      </c>
      <c r="Q19" s="20">
        <v>10500</v>
      </c>
      <c r="R19" s="35">
        <f t="shared" si="6"/>
        <v>500</v>
      </c>
      <c r="S19" s="20">
        <v>11000</v>
      </c>
      <c r="T19" s="35">
        <f t="shared" si="7"/>
        <v>600</v>
      </c>
      <c r="U19" s="20">
        <v>12600</v>
      </c>
      <c r="V19" s="35">
        <f t="shared" si="8"/>
        <v>600</v>
      </c>
      <c r="W19" s="20">
        <v>12600</v>
      </c>
      <c r="X19" s="35">
        <f t="shared" si="9"/>
        <v>400</v>
      </c>
      <c r="Y19" s="20">
        <v>9200</v>
      </c>
      <c r="Z19" s="35">
        <f t="shared" si="10"/>
        <v>422.5</v>
      </c>
      <c r="AA19" s="20">
        <v>5070</v>
      </c>
      <c r="AB19" s="35">
        <f t="shared" si="11"/>
        <v>400</v>
      </c>
      <c r="AC19" s="20">
        <v>8400</v>
      </c>
      <c r="AD19" s="35">
        <f t="shared" si="12"/>
        <v>350</v>
      </c>
      <c r="AE19" s="20">
        <v>6650</v>
      </c>
      <c r="AF19" s="34">
        <f t="shared" si="13"/>
        <v>0</v>
      </c>
      <c r="AG19" s="20">
        <v>0</v>
      </c>
      <c r="AH19" s="33">
        <f t="shared" si="14"/>
        <v>350</v>
      </c>
      <c r="AI19" s="20">
        <v>6650</v>
      </c>
      <c r="AJ19" s="32">
        <f t="shared" si="15"/>
        <v>350</v>
      </c>
      <c r="AK19" s="20">
        <v>7350</v>
      </c>
      <c r="AL19" s="28">
        <v>400</v>
      </c>
      <c r="AM19" s="20">
        <v>9200</v>
      </c>
      <c r="AN19" s="31">
        <f t="shared" si="16"/>
        <v>500</v>
      </c>
      <c r="AO19" s="20">
        <v>10000</v>
      </c>
      <c r="AP19" s="29">
        <f t="shared" si="17"/>
        <v>500</v>
      </c>
      <c r="AQ19" s="20">
        <v>11500</v>
      </c>
      <c r="AR19" s="15">
        <f t="shared" si="18"/>
        <v>500</v>
      </c>
      <c r="AS19" s="20">
        <v>10000</v>
      </c>
      <c r="AT19" s="15">
        <f t="shared" si="19"/>
        <v>500</v>
      </c>
      <c r="AU19" s="20">
        <v>10500</v>
      </c>
      <c r="AV19" s="20">
        <v>11500</v>
      </c>
      <c r="AW19" s="15">
        <f t="shared" si="20"/>
        <v>500</v>
      </c>
      <c r="AX19" s="20">
        <v>6500</v>
      </c>
      <c r="AY19" s="20">
        <f t="shared" si="21"/>
        <v>500</v>
      </c>
      <c r="AZ19" s="8">
        <v>11000</v>
      </c>
      <c r="BA19" s="8">
        <f t="shared" si="22"/>
        <v>500</v>
      </c>
      <c r="BB19" s="4"/>
    </row>
    <row r="20" spans="1:54" x14ac:dyDescent="0.25">
      <c r="A20" s="6">
        <f t="shared" si="0"/>
        <v>1552.5</v>
      </c>
      <c r="B20" s="9">
        <v>155.25</v>
      </c>
      <c r="C20" s="20">
        <v>10</v>
      </c>
      <c r="D20" s="28">
        <f t="shared" si="1"/>
        <v>0.45454545454545453</v>
      </c>
      <c r="E20" s="9" t="s">
        <v>58</v>
      </c>
      <c r="F20" s="9" t="s">
        <v>57</v>
      </c>
      <c r="I20" s="20">
        <v>0</v>
      </c>
      <c r="J20" s="35">
        <f t="shared" si="2"/>
        <v>0.5714285714285714</v>
      </c>
      <c r="K20" s="20">
        <v>8</v>
      </c>
      <c r="L20" s="35">
        <f t="shared" si="3"/>
        <v>0.47619047619047616</v>
      </c>
      <c r="M20" s="20">
        <v>10</v>
      </c>
      <c r="N20" s="35">
        <f t="shared" si="4"/>
        <v>0.43478260869565216</v>
      </c>
      <c r="O20" s="20">
        <v>10</v>
      </c>
      <c r="P20" s="35">
        <f t="shared" si="5"/>
        <v>0.47619047619047616</v>
      </c>
      <c r="Q20" s="20">
        <v>10</v>
      </c>
      <c r="R20" s="35">
        <f t="shared" si="6"/>
        <v>0.45454545454545453</v>
      </c>
      <c r="S20" s="20">
        <v>10</v>
      </c>
      <c r="T20" s="35">
        <f t="shared" si="7"/>
        <v>0.47619047619047616</v>
      </c>
      <c r="U20" s="20">
        <v>10</v>
      </c>
      <c r="V20" s="35">
        <f t="shared" si="8"/>
        <v>0.47619047619047616</v>
      </c>
      <c r="W20" s="20">
        <v>10</v>
      </c>
      <c r="X20" s="35">
        <f t="shared" si="9"/>
        <v>0.47826086956521741</v>
      </c>
      <c r="Y20" s="20">
        <v>11</v>
      </c>
      <c r="Z20" s="35">
        <f t="shared" si="10"/>
        <v>0.5</v>
      </c>
      <c r="AA20" s="20">
        <v>6</v>
      </c>
      <c r="AB20" s="35">
        <f t="shared" si="11"/>
        <v>0.47619047619047616</v>
      </c>
      <c r="AC20" s="20">
        <v>10</v>
      </c>
      <c r="AD20" s="35">
        <f t="shared" si="12"/>
        <v>0.52631578947368418</v>
      </c>
      <c r="AE20" s="20">
        <v>10</v>
      </c>
      <c r="AF20" s="34">
        <f t="shared" si="13"/>
        <v>0.11764705882352941</v>
      </c>
      <c r="AG20" s="20">
        <v>2</v>
      </c>
      <c r="AH20" s="33">
        <f t="shared" si="14"/>
        <v>0.52631578947368418</v>
      </c>
      <c r="AI20" s="20">
        <v>10</v>
      </c>
      <c r="AJ20" s="32">
        <f t="shared" si="15"/>
        <v>0.52380952380952384</v>
      </c>
      <c r="AK20" s="20">
        <v>11</v>
      </c>
      <c r="AL20" s="28">
        <v>0.52173913043478259</v>
      </c>
      <c r="AM20" s="20">
        <v>12</v>
      </c>
      <c r="AN20" s="31">
        <f t="shared" si="16"/>
        <v>0.55000000000000004</v>
      </c>
      <c r="AO20" s="20">
        <v>11</v>
      </c>
      <c r="AP20" s="29">
        <f t="shared" si="17"/>
        <v>0.52173913043478259</v>
      </c>
      <c r="AQ20" s="20">
        <v>12</v>
      </c>
      <c r="AR20" s="15">
        <f t="shared" si="18"/>
        <v>0.5</v>
      </c>
      <c r="AS20" s="20">
        <v>10</v>
      </c>
      <c r="AT20" s="15">
        <f t="shared" si="19"/>
        <v>0.47619047619047616</v>
      </c>
      <c r="AU20" s="20">
        <v>10</v>
      </c>
      <c r="AV20" s="20">
        <v>10</v>
      </c>
      <c r="AW20" s="15">
        <f t="shared" si="20"/>
        <v>0.43478260869565216</v>
      </c>
      <c r="AX20" s="20">
        <v>12</v>
      </c>
      <c r="AY20" s="20">
        <f t="shared" si="21"/>
        <v>0.92307692307692313</v>
      </c>
      <c r="AZ20" s="8">
        <v>7</v>
      </c>
      <c r="BA20" s="8">
        <f t="shared" si="22"/>
        <v>0.31818181818181818</v>
      </c>
      <c r="BB20" s="4"/>
    </row>
    <row r="21" spans="1:54" x14ac:dyDescent="0.25">
      <c r="A21" s="6">
        <f t="shared" si="0"/>
        <v>2320</v>
      </c>
      <c r="B21" s="9">
        <v>40</v>
      </c>
      <c r="C21" s="20">
        <v>58</v>
      </c>
      <c r="D21" s="28">
        <f t="shared" si="1"/>
        <v>2.6363636363636362</v>
      </c>
      <c r="E21" s="9" t="s">
        <v>59</v>
      </c>
      <c r="F21" s="9" t="s">
        <v>35</v>
      </c>
      <c r="I21" s="20">
        <v>50</v>
      </c>
      <c r="J21" s="35">
        <f t="shared" si="2"/>
        <v>2.7142857142857144</v>
      </c>
      <c r="K21" s="20">
        <v>38</v>
      </c>
      <c r="L21" s="35">
        <f t="shared" si="3"/>
        <v>2.4761904761904763</v>
      </c>
      <c r="M21" s="20">
        <v>52</v>
      </c>
      <c r="N21" s="35">
        <f t="shared" si="4"/>
        <v>2.2608695652173911</v>
      </c>
      <c r="O21" s="20">
        <v>52</v>
      </c>
      <c r="P21" s="35">
        <f t="shared" si="5"/>
        <v>2.4761904761904763</v>
      </c>
      <c r="Q21" s="20">
        <v>52</v>
      </c>
      <c r="R21" s="35">
        <f t="shared" si="6"/>
        <v>2.4545454545454546</v>
      </c>
      <c r="S21" s="20">
        <v>54</v>
      </c>
      <c r="T21" s="35">
        <f t="shared" si="7"/>
        <v>2.4761904761904763</v>
      </c>
      <c r="U21" s="20">
        <v>52</v>
      </c>
      <c r="V21" s="35">
        <f t="shared" si="8"/>
        <v>2.4761904761904763</v>
      </c>
      <c r="W21" s="20">
        <v>52</v>
      </c>
      <c r="X21" s="35">
        <f t="shared" si="9"/>
        <v>2.3913043478260869</v>
      </c>
      <c r="Y21" s="20">
        <v>55</v>
      </c>
      <c r="Z21" s="35">
        <f t="shared" si="10"/>
        <v>2.4166666666666665</v>
      </c>
      <c r="AA21" s="20">
        <v>29</v>
      </c>
      <c r="AB21" s="35">
        <f t="shared" si="11"/>
        <v>2.3809523809523809</v>
      </c>
      <c r="AC21" s="20">
        <v>50</v>
      </c>
      <c r="AD21" s="35">
        <f t="shared" si="12"/>
        <v>2.4210526315789473</v>
      </c>
      <c r="AE21" s="20">
        <v>46</v>
      </c>
      <c r="AF21" s="34">
        <f t="shared" si="13"/>
        <v>5.8823529411764705E-2</v>
      </c>
      <c r="AG21" s="20">
        <v>1</v>
      </c>
      <c r="AH21" s="33">
        <f t="shared" si="14"/>
        <v>2.4210526315789473</v>
      </c>
      <c r="AI21" s="20">
        <v>46</v>
      </c>
      <c r="AJ21" s="32">
        <f t="shared" si="15"/>
        <v>2.3809523809523809</v>
      </c>
      <c r="AK21" s="20">
        <v>50</v>
      </c>
      <c r="AL21" s="28">
        <v>2.3913043478260869</v>
      </c>
      <c r="AM21" s="20">
        <v>55</v>
      </c>
      <c r="AN21" s="31">
        <f t="shared" si="16"/>
        <v>2.4</v>
      </c>
      <c r="AO21" s="20">
        <v>48</v>
      </c>
      <c r="AP21" s="29">
        <f t="shared" si="17"/>
        <v>2.3913043478260869</v>
      </c>
      <c r="AQ21" s="20">
        <v>55</v>
      </c>
      <c r="AR21" s="15">
        <f t="shared" si="18"/>
        <v>2</v>
      </c>
      <c r="AS21" s="20">
        <v>40</v>
      </c>
      <c r="AT21" s="15">
        <f t="shared" si="19"/>
        <v>1.9047619047619047</v>
      </c>
      <c r="AU21" s="20">
        <v>40</v>
      </c>
      <c r="AV21" s="20">
        <v>25</v>
      </c>
      <c r="AW21" s="15">
        <f t="shared" si="20"/>
        <v>1.0869565217391304</v>
      </c>
      <c r="AX21" s="20">
        <v>18</v>
      </c>
      <c r="AY21" s="20">
        <f t="shared" si="21"/>
        <v>1.3846153846153846</v>
      </c>
      <c r="AZ21" s="8">
        <v>25</v>
      </c>
      <c r="BA21" s="8">
        <f t="shared" si="22"/>
        <v>1.1363636363636365</v>
      </c>
      <c r="BB21" s="4"/>
    </row>
    <row r="22" spans="1:54" x14ac:dyDescent="0.25">
      <c r="A22" s="6">
        <f t="shared" si="0"/>
        <v>1092</v>
      </c>
      <c r="B22" s="9">
        <v>182</v>
      </c>
      <c r="C22" s="20">
        <v>6</v>
      </c>
      <c r="D22" s="28">
        <f t="shared" si="1"/>
        <v>0.27272727272727271</v>
      </c>
      <c r="E22" s="9" t="s">
        <v>61</v>
      </c>
      <c r="F22" s="9" t="s">
        <v>60</v>
      </c>
      <c r="I22" s="20">
        <v>2</v>
      </c>
      <c r="J22" s="35">
        <f t="shared" si="2"/>
        <v>0</v>
      </c>
      <c r="K22" s="20"/>
      <c r="L22" s="35">
        <f t="shared" si="3"/>
        <v>0.2857142857142857</v>
      </c>
      <c r="M22" s="20">
        <v>6</v>
      </c>
      <c r="N22" s="35">
        <f t="shared" si="4"/>
        <v>0.2608695652173913</v>
      </c>
      <c r="O22" s="20">
        <v>6</v>
      </c>
      <c r="P22" s="35">
        <f t="shared" si="5"/>
        <v>0.2857142857142857</v>
      </c>
      <c r="Q22" s="20">
        <v>6</v>
      </c>
      <c r="R22" s="35">
        <f t="shared" si="6"/>
        <v>0.27272727272727271</v>
      </c>
      <c r="S22" s="20">
        <v>6</v>
      </c>
      <c r="T22" s="35">
        <f t="shared" si="7"/>
        <v>0.2857142857142857</v>
      </c>
      <c r="U22" s="20">
        <v>6</v>
      </c>
      <c r="V22" s="35">
        <f t="shared" si="8"/>
        <v>0.2857142857142857</v>
      </c>
      <c r="W22" s="20">
        <v>6</v>
      </c>
      <c r="X22" s="35">
        <f t="shared" si="9"/>
        <v>0.2608695652173913</v>
      </c>
      <c r="Y22" s="20">
        <v>6</v>
      </c>
      <c r="Z22" s="35">
        <f t="shared" si="10"/>
        <v>0.33333333333333331</v>
      </c>
      <c r="AA22" s="20">
        <v>4</v>
      </c>
      <c r="AB22" s="35">
        <f t="shared" si="11"/>
        <v>0.2857142857142857</v>
      </c>
      <c r="AC22" s="20">
        <v>6</v>
      </c>
      <c r="AD22" s="35">
        <f t="shared" si="12"/>
        <v>0.31578947368421051</v>
      </c>
      <c r="AE22" s="20">
        <v>6</v>
      </c>
      <c r="AF22" s="34">
        <f t="shared" si="13"/>
        <v>5.8823529411764705E-2</v>
      </c>
      <c r="AG22" s="20">
        <v>1</v>
      </c>
      <c r="AH22" s="33">
        <f t="shared" si="14"/>
        <v>0.31578947368421051</v>
      </c>
      <c r="AI22" s="20">
        <v>6</v>
      </c>
      <c r="AJ22" s="32">
        <f t="shared" si="15"/>
        <v>0.2857142857142857</v>
      </c>
      <c r="AK22" s="20">
        <v>6</v>
      </c>
      <c r="AL22" s="28">
        <v>0.2608695652173913</v>
      </c>
      <c r="AM22" s="20">
        <v>6</v>
      </c>
      <c r="AN22" s="31">
        <f t="shared" si="16"/>
        <v>0.25</v>
      </c>
      <c r="AO22" s="20">
        <v>5</v>
      </c>
      <c r="AP22" s="29">
        <f t="shared" si="17"/>
        <v>0.2608695652173913</v>
      </c>
      <c r="AQ22" s="20">
        <v>6</v>
      </c>
      <c r="AR22" s="15">
        <f t="shared" si="18"/>
        <v>0.25</v>
      </c>
      <c r="AS22" s="20">
        <v>5</v>
      </c>
      <c r="AT22" s="15">
        <f t="shared" si="19"/>
        <v>0.23809523809523808</v>
      </c>
      <c r="AU22" s="20">
        <v>5</v>
      </c>
      <c r="AV22" s="20">
        <v>5</v>
      </c>
      <c r="AW22" s="15">
        <f t="shared" si="20"/>
        <v>0.21739130434782608</v>
      </c>
      <c r="AX22" s="20">
        <v>5</v>
      </c>
      <c r="AY22" s="20">
        <f t="shared" si="21"/>
        <v>0.38461538461538464</v>
      </c>
      <c r="AZ22" s="8">
        <v>0</v>
      </c>
      <c r="BA22" s="8">
        <f t="shared" si="22"/>
        <v>0</v>
      </c>
      <c r="BB22" s="4"/>
    </row>
    <row r="23" spans="1:54" x14ac:dyDescent="0.25">
      <c r="A23" s="6">
        <f t="shared" si="0"/>
        <v>4640</v>
      </c>
      <c r="B23" s="9">
        <v>116</v>
      </c>
      <c r="C23" s="20">
        <v>40</v>
      </c>
      <c r="D23" s="28">
        <f t="shared" si="1"/>
        <v>1.8181818181818181</v>
      </c>
      <c r="E23" s="9" t="s">
        <v>63</v>
      </c>
      <c r="F23" s="9" t="s">
        <v>62</v>
      </c>
      <c r="I23" s="20"/>
      <c r="J23" s="35">
        <f t="shared" si="2"/>
        <v>19</v>
      </c>
      <c r="K23" s="20">
        <v>266</v>
      </c>
      <c r="L23" s="35">
        <f t="shared" si="3"/>
        <v>19.047619047619047</v>
      </c>
      <c r="M23" s="20">
        <v>400</v>
      </c>
      <c r="N23" s="35">
        <f t="shared" si="4"/>
        <v>14.521739130434783</v>
      </c>
      <c r="O23" s="20">
        <v>334</v>
      </c>
      <c r="P23" s="35">
        <f t="shared" si="5"/>
        <v>25.428571428571427</v>
      </c>
      <c r="Q23" s="20">
        <v>534</v>
      </c>
      <c r="R23" s="35">
        <f t="shared" si="6"/>
        <v>25.227272727272727</v>
      </c>
      <c r="S23" s="20">
        <v>555</v>
      </c>
      <c r="T23" s="35">
        <f t="shared" si="7"/>
        <v>25.428571428571427</v>
      </c>
      <c r="U23" s="20">
        <v>534</v>
      </c>
      <c r="V23" s="35">
        <f t="shared" si="8"/>
        <v>25.428571428571427</v>
      </c>
      <c r="W23" s="20">
        <v>534</v>
      </c>
      <c r="X23" s="35">
        <f t="shared" si="9"/>
        <v>15</v>
      </c>
      <c r="Y23" s="20">
        <v>345</v>
      </c>
      <c r="Z23" s="35">
        <f t="shared" si="10"/>
        <v>15</v>
      </c>
      <c r="AA23" s="20">
        <v>180</v>
      </c>
      <c r="AB23" s="35">
        <f t="shared" si="11"/>
        <v>15</v>
      </c>
      <c r="AC23" s="20">
        <v>315</v>
      </c>
      <c r="AD23" s="35">
        <f t="shared" si="12"/>
        <v>13.157894736842104</v>
      </c>
      <c r="AE23" s="20">
        <v>250</v>
      </c>
      <c r="AF23" s="34">
        <f t="shared" si="13"/>
        <v>0</v>
      </c>
      <c r="AG23" s="20">
        <v>0</v>
      </c>
      <c r="AH23" s="33">
        <f t="shared" si="14"/>
        <v>0.26315789473684209</v>
      </c>
      <c r="AI23" s="20">
        <v>5</v>
      </c>
      <c r="AJ23" s="32">
        <f t="shared" si="15"/>
        <v>0</v>
      </c>
      <c r="AK23" s="20">
        <v>0</v>
      </c>
      <c r="AL23" s="28">
        <v>0</v>
      </c>
      <c r="AM23" s="20">
        <v>0</v>
      </c>
      <c r="AN23" s="31">
        <f t="shared" si="16"/>
        <v>14.25</v>
      </c>
      <c r="AO23" s="20">
        <v>285</v>
      </c>
      <c r="AP23" s="29">
        <f t="shared" si="17"/>
        <v>13.043478260869565</v>
      </c>
      <c r="AQ23" s="20">
        <v>300</v>
      </c>
      <c r="AR23" s="15">
        <f t="shared" si="18"/>
        <v>13</v>
      </c>
      <c r="AS23" s="20">
        <v>260</v>
      </c>
      <c r="AT23" s="15">
        <f t="shared" si="19"/>
        <v>8.8095238095238102</v>
      </c>
      <c r="AU23" s="20">
        <v>185</v>
      </c>
      <c r="AV23" s="20">
        <v>200</v>
      </c>
      <c r="AW23" s="15">
        <f t="shared" si="20"/>
        <v>8.695652173913043</v>
      </c>
      <c r="AX23" s="20">
        <v>300</v>
      </c>
      <c r="AY23" s="20">
        <f t="shared" si="21"/>
        <v>23.076923076923077</v>
      </c>
      <c r="AZ23" s="8">
        <v>200</v>
      </c>
      <c r="BA23" s="8">
        <f t="shared" si="22"/>
        <v>9.0909090909090917</v>
      </c>
      <c r="BB23" s="4"/>
    </row>
    <row r="24" spans="1:54" x14ac:dyDescent="0.25">
      <c r="A24" s="6">
        <f t="shared" si="0"/>
        <v>4037.88</v>
      </c>
      <c r="B24" s="9">
        <v>9.66</v>
      </c>
      <c r="C24" s="20">
        <v>418</v>
      </c>
      <c r="D24" s="28">
        <f t="shared" si="1"/>
        <v>19</v>
      </c>
      <c r="E24" s="9" t="s">
        <v>64</v>
      </c>
      <c r="F24" s="9" t="s">
        <v>16</v>
      </c>
      <c r="I24" s="20">
        <v>50</v>
      </c>
      <c r="J24" s="35">
        <f t="shared" si="2"/>
        <v>19.285714285714285</v>
      </c>
      <c r="K24" s="20">
        <v>270</v>
      </c>
      <c r="L24" s="35">
        <f t="shared" si="3"/>
        <v>17.952380952380953</v>
      </c>
      <c r="M24" s="20">
        <v>377</v>
      </c>
      <c r="N24" s="35">
        <f t="shared" si="4"/>
        <v>18.043478260869566</v>
      </c>
      <c r="O24" s="20">
        <v>415</v>
      </c>
      <c r="P24" s="35">
        <f t="shared" si="5"/>
        <v>13.714285714285714</v>
      </c>
      <c r="Q24" s="20">
        <v>288</v>
      </c>
      <c r="R24" s="35">
        <f t="shared" si="6"/>
        <v>17.272727272727273</v>
      </c>
      <c r="S24" s="20">
        <v>380</v>
      </c>
      <c r="T24" s="35">
        <f t="shared" si="7"/>
        <v>13.714285714285714</v>
      </c>
      <c r="U24" s="20">
        <v>288</v>
      </c>
      <c r="V24" s="35">
        <f t="shared" si="8"/>
        <v>0</v>
      </c>
      <c r="W24" s="36"/>
      <c r="X24" s="35">
        <f t="shared" si="9"/>
        <v>20</v>
      </c>
      <c r="Y24" s="20">
        <v>460</v>
      </c>
      <c r="Z24" s="35">
        <f t="shared" si="10"/>
        <v>20</v>
      </c>
      <c r="AA24" s="20">
        <v>240</v>
      </c>
      <c r="AB24" s="35">
        <f t="shared" si="11"/>
        <v>20</v>
      </c>
      <c r="AC24" s="20">
        <v>420</v>
      </c>
      <c r="AD24" s="35">
        <f t="shared" si="12"/>
        <v>20</v>
      </c>
      <c r="AE24" s="20">
        <v>380</v>
      </c>
      <c r="AF24" s="34">
        <f t="shared" si="13"/>
        <v>5</v>
      </c>
      <c r="AG24" s="20">
        <v>85</v>
      </c>
      <c r="AH24" s="33">
        <f t="shared" si="14"/>
        <v>20</v>
      </c>
      <c r="AI24" s="20">
        <v>380</v>
      </c>
      <c r="AJ24" s="32">
        <f t="shared" si="15"/>
        <v>20</v>
      </c>
      <c r="AK24" s="20">
        <v>420</v>
      </c>
      <c r="AL24" s="28">
        <v>20</v>
      </c>
      <c r="AM24" s="20">
        <v>460</v>
      </c>
      <c r="AN24" s="31">
        <f t="shared" si="16"/>
        <v>20</v>
      </c>
      <c r="AO24" s="20">
        <v>400</v>
      </c>
      <c r="AP24" s="29">
        <f t="shared" si="17"/>
        <v>20</v>
      </c>
      <c r="AQ24" s="20">
        <v>460</v>
      </c>
      <c r="AR24" s="15">
        <f t="shared" si="18"/>
        <v>20</v>
      </c>
      <c r="AS24" s="20">
        <v>400</v>
      </c>
      <c r="AT24" s="15">
        <f t="shared" si="19"/>
        <v>19.761904761904763</v>
      </c>
      <c r="AU24" s="20">
        <v>415</v>
      </c>
      <c r="AV24" s="20">
        <v>450</v>
      </c>
      <c r="AW24" s="15">
        <f t="shared" si="20"/>
        <v>19.565217391304348</v>
      </c>
      <c r="AX24" s="20">
        <v>220</v>
      </c>
      <c r="AY24" s="20">
        <f t="shared" si="21"/>
        <v>16.923076923076923</v>
      </c>
      <c r="AZ24" s="8">
        <v>450</v>
      </c>
      <c r="BA24" s="8">
        <f t="shared" si="22"/>
        <v>20.454545454545453</v>
      </c>
      <c r="BB24" s="4"/>
    </row>
    <row r="25" spans="1:54" x14ac:dyDescent="0.25">
      <c r="A25" s="6">
        <f t="shared" si="0"/>
        <v>3068</v>
      </c>
      <c r="B25" s="9">
        <v>6.5</v>
      </c>
      <c r="C25" s="20">
        <v>472</v>
      </c>
      <c r="D25" s="28">
        <f t="shared" si="1"/>
        <v>21.454545454545453</v>
      </c>
      <c r="E25" s="9" t="s">
        <v>65</v>
      </c>
      <c r="F25" s="9" t="s">
        <v>36</v>
      </c>
      <c r="I25" s="20">
        <v>50</v>
      </c>
      <c r="J25" s="35">
        <f t="shared" si="2"/>
        <v>18.571428571428573</v>
      </c>
      <c r="K25" s="20">
        <v>260</v>
      </c>
      <c r="L25" s="35">
        <f t="shared" si="3"/>
        <v>15.952380952380953</v>
      </c>
      <c r="M25" s="20">
        <v>335</v>
      </c>
      <c r="N25" s="35">
        <f t="shared" si="4"/>
        <v>15.869565217391305</v>
      </c>
      <c r="O25" s="20">
        <v>365</v>
      </c>
      <c r="P25" s="35">
        <f t="shared" si="5"/>
        <v>14.047619047619047</v>
      </c>
      <c r="Q25" s="20">
        <v>295</v>
      </c>
      <c r="R25" s="35">
        <f t="shared" si="6"/>
        <v>14.090909090909092</v>
      </c>
      <c r="S25" s="20">
        <v>310</v>
      </c>
      <c r="T25" s="35">
        <f t="shared" si="7"/>
        <v>14.047619047619047</v>
      </c>
      <c r="U25" s="20">
        <v>295</v>
      </c>
      <c r="V25" s="35">
        <f t="shared" si="8"/>
        <v>18.80952380952381</v>
      </c>
      <c r="W25" s="20">
        <v>395</v>
      </c>
      <c r="X25" s="35">
        <f t="shared" si="9"/>
        <v>14</v>
      </c>
      <c r="Y25" s="20">
        <v>322</v>
      </c>
      <c r="Z25" s="35">
        <f t="shared" si="10"/>
        <v>14</v>
      </c>
      <c r="AA25" s="20">
        <v>168</v>
      </c>
      <c r="AB25" s="35">
        <f t="shared" si="11"/>
        <v>14.047619047619047</v>
      </c>
      <c r="AC25" s="20">
        <v>295</v>
      </c>
      <c r="AD25" s="35">
        <f t="shared" si="12"/>
        <v>13.052631578947368</v>
      </c>
      <c r="AE25" s="20">
        <v>248</v>
      </c>
      <c r="AF25" s="34">
        <f t="shared" si="13"/>
        <v>4.117647058823529</v>
      </c>
      <c r="AG25" s="20">
        <v>70</v>
      </c>
      <c r="AH25" s="33">
        <f t="shared" si="14"/>
        <v>13.052631578947368</v>
      </c>
      <c r="AI25" s="20">
        <v>248</v>
      </c>
      <c r="AJ25" s="32">
        <f t="shared" si="15"/>
        <v>13.095238095238095</v>
      </c>
      <c r="AK25" s="20">
        <v>275</v>
      </c>
      <c r="AL25" s="28">
        <v>11.956521739130435</v>
      </c>
      <c r="AM25" s="20">
        <v>275</v>
      </c>
      <c r="AN25" s="31">
        <f t="shared" si="16"/>
        <v>13</v>
      </c>
      <c r="AO25" s="20">
        <v>260</v>
      </c>
      <c r="AP25" s="29">
        <f t="shared" si="17"/>
        <v>11.304347826086957</v>
      </c>
      <c r="AQ25" s="20">
        <v>260</v>
      </c>
      <c r="AR25" s="15">
        <f t="shared" si="18"/>
        <v>10</v>
      </c>
      <c r="AS25" s="20">
        <v>200</v>
      </c>
      <c r="AT25" s="15">
        <f t="shared" si="19"/>
        <v>7.6190476190476186</v>
      </c>
      <c r="AU25" s="20">
        <v>160</v>
      </c>
      <c r="AV25" s="20">
        <v>120</v>
      </c>
      <c r="AW25" s="15">
        <f t="shared" si="20"/>
        <v>5.2173913043478262</v>
      </c>
      <c r="AX25" s="20">
        <v>100</v>
      </c>
      <c r="AY25" s="20">
        <f t="shared" si="21"/>
        <v>7.6923076923076925</v>
      </c>
      <c r="AZ25" s="8">
        <v>120</v>
      </c>
      <c r="BA25" s="8">
        <f t="shared" si="22"/>
        <v>5.4545454545454541</v>
      </c>
      <c r="BB25" s="4"/>
    </row>
    <row r="26" spans="1:54" x14ac:dyDescent="0.25">
      <c r="A26" s="6">
        <f t="shared" si="0"/>
        <v>8424.9</v>
      </c>
      <c r="B26" s="9">
        <v>42.55</v>
      </c>
      <c r="C26" s="20">
        <v>198</v>
      </c>
      <c r="D26" s="28">
        <f t="shared" si="1"/>
        <v>9</v>
      </c>
      <c r="E26" s="9" t="s">
        <v>0</v>
      </c>
      <c r="F26" s="9" t="s">
        <v>66</v>
      </c>
      <c r="G26" s="27" t="s">
        <v>107</v>
      </c>
      <c r="H26" s="27"/>
      <c r="I26" s="20">
        <v>50</v>
      </c>
      <c r="J26" s="35">
        <f t="shared" si="2"/>
        <v>10.714285714285714</v>
      </c>
      <c r="K26" s="20">
        <v>150</v>
      </c>
      <c r="L26" s="35">
        <f t="shared" si="3"/>
        <v>10</v>
      </c>
      <c r="M26" s="20">
        <v>210</v>
      </c>
      <c r="N26" s="35">
        <f t="shared" si="4"/>
        <v>9.1304347826086953</v>
      </c>
      <c r="O26" s="20">
        <v>210</v>
      </c>
      <c r="P26" s="35">
        <f t="shared" si="5"/>
        <v>9.1428571428571423</v>
      </c>
      <c r="Q26" s="20">
        <v>192</v>
      </c>
      <c r="R26" s="35">
        <f t="shared" si="6"/>
        <v>9.0909090909090917</v>
      </c>
      <c r="S26" s="20">
        <v>200</v>
      </c>
      <c r="T26" s="35">
        <f t="shared" si="7"/>
        <v>9.1428571428571423</v>
      </c>
      <c r="U26" s="20">
        <v>192</v>
      </c>
      <c r="V26" s="35">
        <f t="shared" si="8"/>
        <v>9.1428571428571423</v>
      </c>
      <c r="W26" s="20">
        <v>192</v>
      </c>
      <c r="X26" s="35">
        <f t="shared" si="9"/>
        <v>9.1304347826086953</v>
      </c>
      <c r="Y26" s="20">
        <v>210</v>
      </c>
      <c r="Z26" s="35">
        <f t="shared" si="10"/>
        <v>15.166666666666666</v>
      </c>
      <c r="AA26" s="20">
        <v>182</v>
      </c>
      <c r="AB26" s="35">
        <f t="shared" si="11"/>
        <v>8.6666666666666661</v>
      </c>
      <c r="AC26" s="20">
        <v>182</v>
      </c>
      <c r="AD26" s="35">
        <f t="shared" si="12"/>
        <v>7.7368421052631575</v>
      </c>
      <c r="AE26" s="20">
        <v>147</v>
      </c>
      <c r="AF26" s="34">
        <f t="shared" si="13"/>
        <v>1.4705882352941178</v>
      </c>
      <c r="AG26" s="20">
        <v>25</v>
      </c>
      <c r="AH26" s="33">
        <f t="shared" si="14"/>
        <v>20</v>
      </c>
      <c r="AI26" s="20">
        <v>380</v>
      </c>
      <c r="AJ26" s="32">
        <f t="shared" si="15"/>
        <v>15.714285714285714</v>
      </c>
      <c r="AK26" s="20">
        <v>330</v>
      </c>
      <c r="AL26" s="28">
        <v>15.652173913043478</v>
      </c>
      <c r="AM26" s="20">
        <v>360</v>
      </c>
      <c r="AN26" s="31">
        <f t="shared" si="16"/>
        <v>18</v>
      </c>
      <c r="AO26" s="20">
        <v>360</v>
      </c>
      <c r="AP26" s="29">
        <f t="shared" si="17"/>
        <v>4.6086956521739131</v>
      </c>
      <c r="AQ26" s="20">
        <v>106</v>
      </c>
      <c r="AR26" s="15">
        <f t="shared" si="18"/>
        <v>5.3</v>
      </c>
      <c r="AS26" s="20">
        <v>106</v>
      </c>
      <c r="AT26" s="15">
        <f t="shared" si="19"/>
        <v>0</v>
      </c>
      <c r="AU26" s="20">
        <v>0</v>
      </c>
      <c r="AV26" s="20">
        <v>0</v>
      </c>
      <c r="AW26" s="15">
        <f t="shared" si="20"/>
        <v>0</v>
      </c>
      <c r="AX26" s="20">
        <v>0</v>
      </c>
      <c r="AY26" s="20">
        <f t="shared" si="21"/>
        <v>0</v>
      </c>
      <c r="AZ26" s="8">
        <v>200</v>
      </c>
      <c r="BA26" s="8">
        <f t="shared" si="22"/>
        <v>9.0909090909090917</v>
      </c>
      <c r="BB26" s="4"/>
    </row>
    <row r="27" spans="1:54" x14ac:dyDescent="0.25">
      <c r="A27" s="6">
        <f t="shared" si="0"/>
        <v>246634.30000000002</v>
      </c>
      <c r="B27" s="9">
        <v>11.99</v>
      </c>
      <c r="C27" s="20">
        <v>20570</v>
      </c>
      <c r="D27" s="28">
        <f t="shared" si="1"/>
        <v>935</v>
      </c>
      <c r="E27" s="9" t="s">
        <v>17</v>
      </c>
      <c r="F27" s="9" t="s">
        <v>67</v>
      </c>
      <c r="G27" s="16" t="s">
        <v>106</v>
      </c>
      <c r="H27" s="16"/>
      <c r="I27" s="20">
        <v>4207</v>
      </c>
      <c r="J27" s="35">
        <f t="shared" si="2"/>
        <v>935</v>
      </c>
      <c r="K27" s="20">
        <v>13090</v>
      </c>
      <c r="L27" s="35">
        <f t="shared" si="3"/>
        <v>935</v>
      </c>
      <c r="M27" s="20">
        <v>19635</v>
      </c>
      <c r="N27" s="35">
        <f t="shared" si="4"/>
        <v>935.6521739130435</v>
      </c>
      <c r="O27" s="20">
        <v>21520</v>
      </c>
      <c r="P27" s="35">
        <f t="shared" si="5"/>
        <v>935.71428571428567</v>
      </c>
      <c r="Q27" s="20">
        <v>19650</v>
      </c>
      <c r="R27" s="35">
        <f t="shared" si="6"/>
        <v>937.22727272727275</v>
      </c>
      <c r="S27" s="20">
        <v>20619</v>
      </c>
      <c r="T27" s="35">
        <f t="shared" si="7"/>
        <v>815</v>
      </c>
      <c r="U27" s="20">
        <v>17115</v>
      </c>
      <c r="V27" s="35">
        <f t="shared" si="8"/>
        <v>733.33333333333337</v>
      </c>
      <c r="W27" s="20">
        <v>15400</v>
      </c>
      <c r="X27" s="35">
        <f t="shared" si="9"/>
        <v>815.21739130434787</v>
      </c>
      <c r="Y27" s="20">
        <v>18750</v>
      </c>
      <c r="Z27" s="35">
        <f t="shared" si="10"/>
        <v>816.25</v>
      </c>
      <c r="AA27" s="20">
        <v>9795</v>
      </c>
      <c r="AB27" s="35">
        <f t="shared" si="11"/>
        <v>816.52380952380952</v>
      </c>
      <c r="AC27" s="20">
        <v>17147</v>
      </c>
      <c r="AD27" s="35">
        <f t="shared" si="12"/>
        <v>710</v>
      </c>
      <c r="AE27" s="20">
        <v>13490</v>
      </c>
      <c r="AF27" s="34">
        <f t="shared" si="13"/>
        <v>0</v>
      </c>
      <c r="AG27" s="20">
        <v>0</v>
      </c>
      <c r="AH27" s="33">
        <f t="shared" si="14"/>
        <v>710</v>
      </c>
      <c r="AI27" s="20">
        <v>13490</v>
      </c>
      <c r="AJ27" s="32">
        <f t="shared" si="15"/>
        <v>710</v>
      </c>
      <c r="AK27" s="20">
        <v>14910</v>
      </c>
      <c r="AL27" s="28">
        <v>710</v>
      </c>
      <c r="AM27" s="20">
        <v>16330</v>
      </c>
      <c r="AN27" s="31">
        <f t="shared" si="16"/>
        <v>710</v>
      </c>
      <c r="AO27" s="20">
        <v>14200</v>
      </c>
      <c r="AP27" s="29">
        <f t="shared" si="17"/>
        <v>700</v>
      </c>
      <c r="AQ27" s="20">
        <v>16100</v>
      </c>
      <c r="AR27" s="15">
        <f t="shared" si="18"/>
        <v>680</v>
      </c>
      <c r="AS27" s="20">
        <v>13600</v>
      </c>
      <c r="AT27" s="15">
        <f t="shared" si="19"/>
        <v>678.57142857142856</v>
      </c>
      <c r="AU27" s="20">
        <v>14250</v>
      </c>
      <c r="AV27" s="20">
        <v>15600</v>
      </c>
      <c r="AW27" s="15">
        <f t="shared" si="20"/>
        <v>678.26086956521738</v>
      </c>
      <c r="AX27" s="20">
        <v>8870</v>
      </c>
      <c r="AY27" s="20">
        <f t="shared" si="21"/>
        <v>682.30769230769226</v>
      </c>
      <c r="AZ27" s="8">
        <v>13560</v>
      </c>
      <c r="BA27" s="8">
        <f t="shared" si="22"/>
        <v>616.36363636363637</v>
      </c>
      <c r="BB27" s="4"/>
    </row>
    <row r="28" spans="1:54" x14ac:dyDescent="0.25">
      <c r="A28" s="6">
        <f t="shared" si="0"/>
        <v>189497.00000000003</v>
      </c>
      <c r="B28" s="9">
        <v>16.100000000000001</v>
      </c>
      <c r="C28" s="20">
        <v>11770</v>
      </c>
      <c r="D28" s="28">
        <f t="shared" si="1"/>
        <v>535</v>
      </c>
      <c r="E28" s="9" t="s">
        <v>17</v>
      </c>
      <c r="F28" s="9" t="s">
        <v>68</v>
      </c>
      <c r="G28" s="16" t="s">
        <v>106</v>
      </c>
      <c r="H28" s="16"/>
      <c r="I28" s="20">
        <v>2407</v>
      </c>
      <c r="J28" s="35">
        <f t="shared" si="2"/>
        <v>535</v>
      </c>
      <c r="K28" s="20">
        <v>7490</v>
      </c>
      <c r="L28" s="35">
        <f t="shared" si="3"/>
        <v>535</v>
      </c>
      <c r="M28" s="20">
        <v>11235</v>
      </c>
      <c r="N28" s="35">
        <f t="shared" si="4"/>
        <v>535.695652173913</v>
      </c>
      <c r="O28" s="20">
        <v>12321</v>
      </c>
      <c r="P28" s="35">
        <f t="shared" si="5"/>
        <v>535.71428571428567</v>
      </c>
      <c r="Q28" s="20">
        <v>11250</v>
      </c>
      <c r="R28" s="35">
        <f t="shared" si="6"/>
        <v>534.72727272727275</v>
      </c>
      <c r="S28" s="20">
        <v>11764</v>
      </c>
      <c r="T28" s="35">
        <f t="shared" si="7"/>
        <v>465</v>
      </c>
      <c r="U28" s="20">
        <v>9765</v>
      </c>
      <c r="V28" s="35">
        <f t="shared" si="8"/>
        <v>418.47619047619048</v>
      </c>
      <c r="W28" s="20">
        <v>8788</v>
      </c>
      <c r="X28" s="35">
        <f t="shared" si="9"/>
        <v>465.21739130434781</v>
      </c>
      <c r="Y28" s="20">
        <v>10700</v>
      </c>
      <c r="Z28" s="35">
        <f t="shared" si="10"/>
        <v>465</v>
      </c>
      <c r="AA28" s="20">
        <v>5580</v>
      </c>
      <c r="AB28" s="35">
        <f t="shared" si="11"/>
        <v>465.76190476190476</v>
      </c>
      <c r="AC28" s="20">
        <v>9781</v>
      </c>
      <c r="AD28" s="35">
        <f t="shared" si="12"/>
        <v>405</v>
      </c>
      <c r="AE28" s="20">
        <v>7695</v>
      </c>
      <c r="AF28" s="34">
        <f t="shared" si="13"/>
        <v>0</v>
      </c>
      <c r="AG28" s="20">
        <v>0</v>
      </c>
      <c r="AH28" s="33">
        <f t="shared" si="14"/>
        <v>405</v>
      </c>
      <c r="AI28" s="20">
        <v>7695</v>
      </c>
      <c r="AJ28" s="32">
        <f t="shared" si="15"/>
        <v>405.23809523809524</v>
      </c>
      <c r="AK28" s="20">
        <v>8510</v>
      </c>
      <c r="AL28" s="28">
        <v>405</v>
      </c>
      <c r="AM28" s="20">
        <v>9315</v>
      </c>
      <c r="AN28" s="31">
        <f t="shared" si="16"/>
        <v>405</v>
      </c>
      <c r="AO28" s="20">
        <v>8100</v>
      </c>
      <c r="AP28" s="29">
        <f t="shared" si="17"/>
        <v>400</v>
      </c>
      <c r="AQ28" s="20">
        <v>9200</v>
      </c>
      <c r="AR28" s="15">
        <f t="shared" si="18"/>
        <v>365</v>
      </c>
      <c r="AS28" s="20">
        <v>7300</v>
      </c>
      <c r="AT28" s="15">
        <f t="shared" si="19"/>
        <v>364.28571428571428</v>
      </c>
      <c r="AU28" s="20">
        <v>7650</v>
      </c>
      <c r="AV28" s="20">
        <v>8350</v>
      </c>
      <c r="AW28" s="15">
        <f t="shared" si="20"/>
        <v>363.04347826086956</v>
      </c>
      <c r="AX28" s="20">
        <v>4700</v>
      </c>
      <c r="AY28" s="20">
        <f t="shared" si="21"/>
        <v>361.53846153846155</v>
      </c>
      <c r="AZ28" s="8">
        <v>7590</v>
      </c>
      <c r="BA28" s="8">
        <f t="shared" si="22"/>
        <v>345</v>
      </c>
      <c r="BB28" s="4"/>
    </row>
    <row r="29" spans="1:54" x14ac:dyDescent="0.25">
      <c r="A29" s="6">
        <f t="shared" si="0"/>
        <v>40480</v>
      </c>
      <c r="B29" s="9">
        <v>18.399999999999999</v>
      </c>
      <c r="C29" s="20">
        <v>2200</v>
      </c>
      <c r="D29" s="28">
        <f t="shared" si="1"/>
        <v>100</v>
      </c>
      <c r="E29" s="9" t="s">
        <v>17</v>
      </c>
      <c r="F29" s="9" t="s">
        <v>76</v>
      </c>
      <c r="I29" s="20">
        <v>450</v>
      </c>
      <c r="J29" s="35">
        <f t="shared" si="2"/>
        <v>100</v>
      </c>
      <c r="K29" s="20">
        <v>1400</v>
      </c>
      <c r="L29" s="35">
        <f t="shared" si="3"/>
        <v>100</v>
      </c>
      <c r="M29" s="20">
        <v>2100</v>
      </c>
      <c r="N29" s="35">
        <f t="shared" si="4"/>
        <v>100</v>
      </c>
      <c r="O29" s="20">
        <v>2300</v>
      </c>
      <c r="P29" s="35">
        <f t="shared" si="5"/>
        <v>100</v>
      </c>
      <c r="Q29" s="20">
        <v>2100</v>
      </c>
      <c r="R29" s="35">
        <f t="shared" si="6"/>
        <v>95.454545454545453</v>
      </c>
      <c r="S29" s="20">
        <v>2100</v>
      </c>
      <c r="T29" s="35">
        <f t="shared" si="7"/>
        <v>100</v>
      </c>
      <c r="U29" s="20">
        <v>2100</v>
      </c>
      <c r="V29" s="35">
        <f t="shared" si="8"/>
        <v>100</v>
      </c>
      <c r="W29" s="20">
        <v>2100</v>
      </c>
      <c r="X29" s="35">
        <f t="shared" si="9"/>
        <v>100</v>
      </c>
      <c r="Y29" s="20">
        <v>2300</v>
      </c>
      <c r="Z29" s="35">
        <f t="shared" si="10"/>
        <v>100</v>
      </c>
      <c r="AA29" s="20">
        <v>1200</v>
      </c>
      <c r="AB29" s="35">
        <f t="shared" si="11"/>
        <v>100</v>
      </c>
      <c r="AC29" s="20">
        <v>2100</v>
      </c>
      <c r="AD29" s="35">
        <f t="shared" si="12"/>
        <v>100</v>
      </c>
      <c r="AE29" s="20">
        <v>1900</v>
      </c>
      <c r="AF29" s="34">
        <f t="shared" si="13"/>
        <v>0</v>
      </c>
      <c r="AG29" s="20">
        <v>0</v>
      </c>
      <c r="AH29" s="33">
        <f t="shared" si="14"/>
        <v>100</v>
      </c>
      <c r="AI29" s="20">
        <v>1900</v>
      </c>
      <c r="AJ29" s="32">
        <f t="shared" si="15"/>
        <v>100</v>
      </c>
      <c r="AK29" s="20">
        <v>2100</v>
      </c>
      <c r="AL29" s="28">
        <v>100</v>
      </c>
      <c r="AM29" s="20">
        <v>2300</v>
      </c>
      <c r="AN29" s="31">
        <f t="shared" si="16"/>
        <v>100</v>
      </c>
      <c r="AO29" s="20">
        <v>2000</v>
      </c>
      <c r="AP29" s="29">
        <f t="shared" si="17"/>
        <v>100</v>
      </c>
      <c r="AQ29" s="20">
        <v>2300</v>
      </c>
      <c r="AR29" s="15">
        <f t="shared" si="18"/>
        <v>100</v>
      </c>
      <c r="AS29" s="20">
        <v>2000</v>
      </c>
      <c r="AT29" s="15">
        <f t="shared" si="19"/>
        <v>100</v>
      </c>
      <c r="AU29" s="20">
        <v>2100</v>
      </c>
      <c r="AV29" s="20">
        <v>2350</v>
      </c>
      <c r="AW29" s="15">
        <f t="shared" si="20"/>
        <v>102.17391304347827</v>
      </c>
      <c r="AX29" s="20">
        <v>1300</v>
      </c>
      <c r="AY29" s="20">
        <f t="shared" si="21"/>
        <v>100</v>
      </c>
      <c r="AZ29" s="8">
        <v>2640</v>
      </c>
      <c r="BA29" s="8">
        <f t="shared" si="22"/>
        <v>120</v>
      </c>
      <c r="BB29" s="4"/>
    </row>
    <row r="30" spans="1:54" x14ac:dyDescent="0.25">
      <c r="A30" s="6">
        <f t="shared" si="0"/>
        <v>46450.8</v>
      </c>
      <c r="B30" s="9">
        <v>13.8</v>
      </c>
      <c r="C30" s="20">
        <v>3366</v>
      </c>
      <c r="D30" s="28">
        <f t="shared" si="1"/>
        <v>153</v>
      </c>
      <c r="E30" s="9" t="s">
        <v>38</v>
      </c>
      <c r="F30" s="9" t="s">
        <v>69</v>
      </c>
      <c r="I30" s="20">
        <v>688</v>
      </c>
      <c r="J30" s="35">
        <f t="shared" si="2"/>
        <v>153</v>
      </c>
      <c r="K30" s="20">
        <v>2142</v>
      </c>
      <c r="L30" s="35">
        <f t="shared" si="3"/>
        <v>153</v>
      </c>
      <c r="M30" s="20">
        <v>3213</v>
      </c>
      <c r="N30" s="35">
        <f t="shared" si="4"/>
        <v>153</v>
      </c>
      <c r="O30" s="20">
        <v>3519</v>
      </c>
      <c r="P30" s="35">
        <f t="shared" si="5"/>
        <v>153</v>
      </c>
      <c r="Q30" s="20">
        <v>3213</v>
      </c>
      <c r="R30" s="35">
        <f t="shared" si="6"/>
        <v>152.5</v>
      </c>
      <c r="S30" s="20">
        <v>3355</v>
      </c>
      <c r="T30" s="35">
        <f t="shared" si="7"/>
        <v>153</v>
      </c>
      <c r="U30" s="20">
        <v>3213</v>
      </c>
      <c r="V30" s="35">
        <f t="shared" si="8"/>
        <v>137.61904761904762</v>
      </c>
      <c r="W30" s="20">
        <v>2890</v>
      </c>
      <c r="X30" s="35">
        <f t="shared" si="9"/>
        <v>153.04347826086956</v>
      </c>
      <c r="Y30" s="20">
        <v>3520</v>
      </c>
      <c r="Z30" s="35">
        <f t="shared" si="10"/>
        <v>153</v>
      </c>
      <c r="AA30" s="20">
        <v>1836</v>
      </c>
      <c r="AB30" s="35">
        <f t="shared" si="11"/>
        <v>152.95238095238096</v>
      </c>
      <c r="AC30" s="20">
        <v>3212</v>
      </c>
      <c r="AD30" s="35">
        <f t="shared" si="12"/>
        <v>153</v>
      </c>
      <c r="AE30" s="20">
        <v>2907</v>
      </c>
      <c r="AF30" s="34">
        <f t="shared" si="13"/>
        <v>0</v>
      </c>
      <c r="AG30" s="20">
        <v>0</v>
      </c>
      <c r="AH30" s="33">
        <f t="shared" si="14"/>
        <v>153</v>
      </c>
      <c r="AI30" s="20">
        <v>2907</v>
      </c>
      <c r="AJ30" s="32">
        <f t="shared" si="15"/>
        <v>153.33333333333334</v>
      </c>
      <c r="AK30" s="20">
        <v>3220</v>
      </c>
      <c r="AL30" s="28">
        <v>153.91304347826087</v>
      </c>
      <c r="AM30" s="20">
        <v>3540</v>
      </c>
      <c r="AN30" s="31">
        <f t="shared" si="16"/>
        <v>154</v>
      </c>
      <c r="AO30" s="20">
        <v>3080</v>
      </c>
      <c r="AP30" s="29">
        <f t="shared" si="17"/>
        <v>150</v>
      </c>
      <c r="AQ30" s="20">
        <v>3450</v>
      </c>
      <c r="AR30" s="15">
        <f t="shared" si="18"/>
        <v>133</v>
      </c>
      <c r="AS30" s="20">
        <v>2660</v>
      </c>
      <c r="AT30" s="15">
        <f t="shared" si="19"/>
        <v>133.33333333333334</v>
      </c>
      <c r="AU30" s="20">
        <v>2800</v>
      </c>
      <c r="AV30" s="20">
        <v>3050</v>
      </c>
      <c r="AW30" s="15">
        <f t="shared" si="20"/>
        <v>132.60869565217391</v>
      </c>
      <c r="AX30" s="20">
        <v>1720</v>
      </c>
      <c r="AY30" s="20">
        <f t="shared" si="21"/>
        <v>132.30769230769232</v>
      </c>
      <c r="AZ30" s="8">
        <v>2948</v>
      </c>
      <c r="BA30" s="8">
        <f t="shared" si="22"/>
        <v>134</v>
      </c>
      <c r="BB30" s="4"/>
    </row>
    <row r="31" spans="1:54" x14ac:dyDescent="0.25">
      <c r="A31" s="6">
        <f t="shared" si="0"/>
        <v>330721.59999999998</v>
      </c>
      <c r="B31" s="9">
        <v>18.399999999999999</v>
      </c>
      <c r="C31" s="20">
        <v>17974</v>
      </c>
      <c r="D31" s="28">
        <f t="shared" si="1"/>
        <v>817</v>
      </c>
      <c r="E31" s="9" t="s">
        <v>71</v>
      </c>
      <c r="F31" s="9" t="s">
        <v>70</v>
      </c>
      <c r="G31" s="16" t="s">
        <v>109</v>
      </c>
      <c r="H31" s="16"/>
      <c r="I31" s="20">
        <v>3676</v>
      </c>
      <c r="J31" s="35">
        <f t="shared" si="2"/>
        <v>817</v>
      </c>
      <c r="K31" s="20">
        <v>11438</v>
      </c>
      <c r="L31" s="35">
        <f t="shared" si="3"/>
        <v>817</v>
      </c>
      <c r="M31" s="20">
        <v>17157</v>
      </c>
      <c r="N31" s="35">
        <f t="shared" si="4"/>
        <v>817</v>
      </c>
      <c r="O31" s="20">
        <v>18791</v>
      </c>
      <c r="P31" s="35">
        <f t="shared" si="5"/>
        <v>711.19047619047615</v>
      </c>
      <c r="Q31" s="20">
        <v>14935</v>
      </c>
      <c r="R31" s="35">
        <f t="shared" si="6"/>
        <v>710.68181818181813</v>
      </c>
      <c r="S31" s="20">
        <v>15635</v>
      </c>
      <c r="T31" s="35">
        <f t="shared" si="7"/>
        <v>618</v>
      </c>
      <c r="U31" s="20">
        <v>12978</v>
      </c>
      <c r="V31" s="35">
        <f t="shared" si="8"/>
        <v>556.19047619047615</v>
      </c>
      <c r="W31" s="20">
        <v>11680</v>
      </c>
      <c r="X31" s="35">
        <f t="shared" si="9"/>
        <v>618.04347826086962</v>
      </c>
      <c r="Y31" s="20">
        <v>14215</v>
      </c>
      <c r="Z31" s="35">
        <f t="shared" si="10"/>
        <v>618</v>
      </c>
      <c r="AA31" s="20">
        <v>7416</v>
      </c>
      <c r="AB31" s="35">
        <f t="shared" si="11"/>
        <v>618</v>
      </c>
      <c r="AC31" s="20">
        <v>12978</v>
      </c>
      <c r="AD31" s="35">
        <f t="shared" si="12"/>
        <v>515</v>
      </c>
      <c r="AE31" s="20">
        <v>9785</v>
      </c>
      <c r="AF31" s="34">
        <f t="shared" si="13"/>
        <v>0</v>
      </c>
      <c r="AG31" s="20">
        <v>0</v>
      </c>
      <c r="AH31" s="33">
        <f t="shared" si="14"/>
        <v>515</v>
      </c>
      <c r="AI31" s="20">
        <v>9785</v>
      </c>
      <c r="AJ31" s="32">
        <f t="shared" si="15"/>
        <v>515</v>
      </c>
      <c r="AK31" s="20">
        <v>10815</v>
      </c>
      <c r="AL31" s="28">
        <v>515</v>
      </c>
      <c r="AM31" s="20">
        <v>11845</v>
      </c>
      <c r="AN31" s="31">
        <f t="shared" si="16"/>
        <v>515</v>
      </c>
      <c r="AO31" s="20">
        <v>10300</v>
      </c>
      <c r="AP31" s="29">
        <f t="shared" si="17"/>
        <v>500</v>
      </c>
      <c r="AQ31" s="20">
        <v>11500</v>
      </c>
      <c r="AR31" s="15">
        <f t="shared" si="18"/>
        <v>500</v>
      </c>
      <c r="AS31" s="20">
        <v>10000</v>
      </c>
      <c r="AT31" s="15">
        <f t="shared" si="19"/>
        <v>500</v>
      </c>
      <c r="AU31" s="20">
        <v>10500</v>
      </c>
      <c r="AV31" s="20">
        <v>11500</v>
      </c>
      <c r="AW31" s="15">
        <f t="shared" si="20"/>
        <v>500</v>
      </c>
      <c r="AX31" s="20">
        <v>6550</v>
      </c>
      <c r="AY31" s="20">
        <f t="shared" si="21"/>
        <v>503.84615384615387</v>
      </c>
      <c r="AZ31" s="8">
        <v>10890</v>
      </c>
      <c r="BA31" s="8">
        <f t="shared" si="22"/>
        <v>495</v>
      </c>
      <c r="BB31" s="4"/>
    </row>
    <row r="32" spans="1:54" x14ac:dyDescent="0.25">
      <c r="A32" s="6">
        <f t="shared" si="0"/>
        <v>255374</v>
      </c>
      <c r="B32" s="9">
        <v>37</v>
      </c>
      <c r="C32" s="20">
        <v>6902</v>
      </c>
      <c r="D32" s="28">
        <f t="shared" si="1"/>
        <v>313.72727272727275</v>
      </c>
      <c r="E32" s="9" t="s">
        <v>38</v>
      </c>
      <c r="F32" s="9" t="s">
        <v>72</v>
      </c>
      <c r="I32" s="20">
        <v>5490</v>
      </c>
      <c r="J32" s="35">
        <f t="shared" si="2"/>
        <v>456.14285714285717</v>
      </c>
      <c r="K32" s="20">
        <v>6386</v>
      </c>
      <c r="L32" s="35">
        <f t="shared" si="3"/>
        <v>339.42857142857144</v>
      </c>
      <c r="M32" s="37">
        <v>7128</v>
      </c>
      <c r="N32" s="35">
        <f t="shared" si="4"/>
        <v>325.91304347826087</v>
      </c>
      <c r="O32" s="20">
        <v>7496</v>
      </c>
      <c r="P32" s="35">
        <f t="shared" si="5"/>
        <v>365.85714285714283</v>
      </c>
      <c r="Q32" s="20">
        <v>7683</v>
      </c>
      <c r="R32" s="35">
        <f t="shared" si="6"/>
        <v>328.86363636363637</v>
      </c>
      <c r="S32" s="20">
        <v>7235</v>
      </c>
      <c r="T32" s="35">
        <f t="shared" si="7"/>
        <v>334.85714285714283</v>
      </c>
      <c r="U32" s="37">
        <v>7032</v>
      </c>
      <c r="V32" s="35">
        <f t="shared" si="8"/>
        <v>331.28571428571428</v>
      </c>
      <c r="W32" s="20">
        <v>6957</v>
      </c>
      <c r="X32" s="35">
        <f t="shared" si="9"/>
        <v>301.6521739130435</v>
      </c>
      <c r="Y32" s="20">
        <v>6938</v>
      </c>
      <c r="Z32" s="35">
        <f t="shared" si="10"/>
        <v>558.5</v>
      </c>
      <c r="AA32" s="20">
        <v>6702</v>
      </c>
      <c r="AB32" s="35">
        <f t="shared" si="11"/>
        <v>313.28571428571428</v>
      </c>
      <c r="AC32" s="26">
        <v>6579</v>
      </c>
      <c r="AD32" s="35">
        <f t="shared" si="12"/>
        <v>322.21052631578948</v>
      </c>
      <c r="AE32" s="20">
        <v>6122</v>
      </c>
      <c r="AF32" s="34">
        <f t="shared" si="13"/>
        <v>279.41176470588238</v>
      </c>
      <c r="AG32" s="26">
        <v>4750</v>
      </c>
      <c r="AH32" s="33">
        <f t="shared" si="14"/>
        <v>228.10526315789474</v>
      </c>
      <c r="AI32" s="26">
        <v>4334</v>
      </c>
      <c r="AJ32" s="32">
        <f t="shared" si="15"/>
        <v>255.33333333333334</v>
      </c>
      <c r="AK32" s="26">
        <v>5362</v>
      </c>
      <c r="AL32" s="28">
        <v>224.7391304347826</v>
      </c>
      <c r="AM32" s="26">
        <v>5169</v>
      </c>
      <c r="AN32" s="31">
        <f t="shared" si="16"/>
        <v>245</v>
      </c>
      <c r="AO32" s="26">
        <v>4900</v>
      </c>
      <c r="AP32" s="29">
        <f t="shared" si="17"/>
        <v>216.7391304347826</v>
      </c>
      <c r="AQ32" s="26">
        <v>4985</v>
      </c>
      <c r="AR32" s="15">
        <f t="shared" si="18"/>
        <v>232.3</v>
      </c>
      <c r="AS32" s="26">
        <v>4646</v>
      </c>
      <c r="AT32" s="15">
        <f t="shared" si="19"/>
        <v>222.38095238095238</v>
      </c>
      <c r="AU32" s="26">
        <v>4670</v>
      </c>
      <c r="AV32" s="25">
        <v>4766</v>
      </c>
      <c r="AW32" s="15">
        <f t="shared" si="20"/>
        <v>207.21739130434781</v>
      </c>
      <c r="AX32" s="21">
        <v>4391</v>
      </c>
      <c r="AY32" s="20">
        <f t="shared" si="21"/>
        <v>337.76923076923077</v>
      </c>
      <c r="AZ32" s="8">
        <v>3970</v>
      </c>
      <c r="BA32" s="8">
        <f t="shared" si="22"/>
        <v>180.45454545454547</v>
      </c>
      <c r="BB32" s="4"/>
    </row>
    <row r="33" spans="1:54" x14ac:dyDescent="0.25">
      <c r="A33" s="6">
        <f t="shared" si="0"/>
        <v>133584</v>
      </c>
      <c r="B33" s="9">
        <v>12.65</v>
      </c>
      <c r="C33" s="20">
        <v>10560</v>
      </c>
      <c r="D33" s="28">
        <f t="shared" si="1"/>
        <v>480</v>
      </c>
      <c r="E33" s="9" t="s">
        <v>17</v>
      </c>
      <c r="F33" s="9" t="s">
        <v>18</v>
      </c>
      <c r="I33" s="20">
        <v>2160</v>
      </c>
      <c r="J33" s="35">
        <f t="shared" si="2"/>
        <v>480</v>
      </c>
      <c r="K33" s="20">
        <v>6720</v>
      </c>
      <c r="L33" s="35">
        <f t="shared" si="3"/>
        <v>480</v>
      </c>
      <c r="M33" s="20">
        <v>10080</v>
      </c>
      <c r="N33" s="35">
        <f t="shared" si="4"/>
        <v>480</v>
      </c>
      <c r="O33" s="20">
        <v>11040</v>
      </c>
      <c r="P33" s="35">
        <f t="shared" si="5"/>
        <v>352</v>
      </c>
      <c r="Q33" s="20">
        <v>7392</v>
      </c>
      <c r="R33" s="35">
        <f t="shared" si="6"/>
        <v>352.27272727272725</v>
      </c>
      <c r="S33" s="20">
        <v>7750</v>
      </c>
      <c r="T33" s="35">
        <f t="shared" si="7"/>
        <v>352</v>
      </c>
      <c r="U33" s="20">
        <v>7392</v>
      </c>
      <c r="V33" s="35">
        <f t="shared" si="8"/>
        <v>270.85714285714283</v>
      </c>
      <c r="W33" s="20">
        <v>5688</v>
      </c>
      <c r="X33" s="35">
        <f t="shared" si="9"/>
        <v>352.17391304347825</v>
      </c>
      <c r="Y33" s="20">
        <v>8100</v>
      </c>
      <c r="Z33" s="35">
        <f t="shared" si="10"/>
        <v>375</v>
      </c>
      <c r="AA33" s="20">
        <v>4500</v>
      </c>
      <c r="AB33" s="35">
        <f t="shared" si="11"/>
        <v>352.61904761904759</v>
      </c>
      <c r="AC33" s="20">
        <v>7405</v>
      </c>
      <c r="AD33" s="35">
        <f t="shared" si="12"/>
        <v>352.5263157894737</v>
      </c>
      <c r="AE33" s="20">
        <v>6698</v>
      </c>
      <c r="AF33" s="34">
        <f t="shared" si="13"/>
        <v>0</v>
      </c>
      <c r="AG33" s="20">
        <v>0</v>
      </c>
      <c r="AH33" s="33">
        <f t="shared" si="14"/>
        <v>352.5263157894737</v>
      </c>
      <c r="AI33" s="20">
        <v>6698</v>
      </c>
      <c r="AJ33" s="32">
        <f t="shared" si="15"/>
        <v>352.38095238095241</v>
      </c>
      <c r="AK33" s="20">
        <v>7400</v>
      </c>
      <c r="AL33" s="28">
        <v>352.17391304347825</v>
      </c>
      <c r="AM33" s="20">
        <v>8100</v>
      </c>
      <c r="AN33" s="31">
        <f t="shared" si="16"/>
        <v>515</v>
      </c>
      <c r="AO33" s="20">
        <v>10300</v>
      </c>
      <c r="AP33" s="29">
        <f t="shared" si="17"/>
        <v>500</v>
      </c>
      <c r="AQ33" s="20">
        <v>11500</v>
      </c>
      <c r="AR33" s="15">
        <f t="shared" si="18"/>
        <v>452</v>
      </c>
      <c r="AS33" s="20">
        <v>9040</v>
      </c>
      <c r="AT33" s="15">
        <f t="shared" si="19"/>
        <v>452.38095238095241</v>
      </c>
      <c r="AU33" s="20">
        <v>9500</v>
      </c>
      <c r="AV33" s="20">
        <v>10600</v>
      </c>
      <c r="AW33" s="15">
        <f t="shared" si="20"/>
        <v>460.86956521739131</v>
      </c>
      <c r="AX33" s="20">
        <v>5850</v>
      </c>
      <c r="AY33" s="20">
        <f t="shared" si="21"/>
        <v>450</v>
      </c>
      <c r="AZ33" s="8">
        <v>10120</v>
      </c>
      <c r="BA33" s="8">
        <f t="shared" si="22"/>
        <v>460</v>
      </c>
      <c r="BB33" s="4"/>
    </row>
    <row r="34" spans="1:54" x14ac:dyDescent="0.25">
      <c r="A34" s="6">
        <f t="shared" si="0"/>
        <v>19030</v>
      </c>
      <c r="B34" s="9">
        <v>1.73</v>
      </c>
      <c r="C34" s="20">
        <v>11000</v>
      </c>
      <c r="D34" s="28">
        <f t="shared" si="1"/>
        <v>500</v>
      </c>
      <c r="E34" s="9" t="s">
        <v>17</v>
      </c>
      <c r="F34" s="9" t="s">
        <v>73</v>
      </c>
      <c r="I34" s="20">
        <v>3750</v>
      </c>
      <c r="J34" s="35">
        <f t="shared" si="2"/>
        <v>542.85714285714289</v>
      </c>
      <c r="K34" s="20">
        <v>7600</v>
      </c>
      <c r="L34" s="35">
        <f t="shared" si="3"/>
        <v>500</v>
      </c>
      <c r="M34" s="20">
        <v>10500</v>
      </c>
      <c r="N34" s="35">
        <f t="shared" si="4"/>
        <v>500</v>
      </c>
      <c r="O34" s="20">
        <v>11500</v>
      </c>
      <c r="P34" s="35">
        <f t="shared" si="5"/>
        <v>500</v>
      </c>
      <c r="Q34" s="20">
        <v>10500</v>
      </c>
      <c r="R34" s="35">
        <f t="shared" si="6"/>
        <v>500</v>
      </c>
      <c r="S34" s="20">
        <v>11000</v>
      </c>
      <c r="T34" s="35">
        <f t="shared" si="7"/>
        <v>500</v>
      </c>
      <c r="U34" s="20">
        <v>10500</v>
      </c>
      <c r="V34" s="35">
        <f t="shared" si="8"/>
        <v>450</v>
      </c>
      <c r="W34" s="20">
        <v>9450</v>
      </c>
      <c r="X34" s="35">
        <f t="shared" si="9"/>
        <v>500</v>
      </c>
      <c r="Y34" s="20">
        <v>11500</v>
      </c>
      <c r="Z34" s="35">
        <f t="shared" si="10"/>
        <v>500</v>
      </c>
      <c r="AA34" s="20">
        <v>6000</v>
      </c>
      <c r="AB34" s="35">
        <f t="shared" si="11"/>
        <v>500</v>
      </c>
      <c r="AC34" s="20">
        <v>10500</v>
      </c>
      <c r="AD34" s="35">
        <f t="shared" si="12"/>
        <v>457</v>
      </c>
      <c r="AE34" s="20">
        <v>8683</v>
      </c>
      <c r="AF34" s="34">
        <f t="shared" si="13"/>
        <v>120</v>
      </c>
      <c r="AG34" s="20">
        <v>2040</v>
      </c>
      <c r="AH34" s="33">
        <f t="shared" si="14"/>
        <v>457</v>
      </c>
      <c r="AI34" s="20">
        <v>8683</v>
      </c>
      <c r="AJ34" s="32">
        <f t="shared" si="15"/>
        <v>456.1904761904762</v>
      </c>
      <c r="AK34" s="20">
        <v>9580</v>
      </c>
      <c r="AL34" s="28">
        <v>456.52173913043481</v>
      </c>
      <c r="AM34" s="20">
        <v>10500</v>
      </c>
      <c r="AN34" s="31">
        <f t="shared" si="16"/>
        <v>457</v>
      </c>
      <c r="AO34" s="20">
        <v>9140</v>
      </c>
      <c r="AP34" s="29">
        <f t="shared" si="17"/>
        <v>456.52173913043481</v>
      </c>
      <c r="AQ34" s="20">
        <v>10500</v>
      </c>
      <c r="AR34" s="15">
        <f t="shared" si="18"/>
        <v>452</v>
      </c>
      <c r="AS34" s="20">
        <v>9040</v>
      </c>
      <c r="AT34" s="15">
        <f t="shared" si="19"/>
        <v>452.38095238095241</v>
      </c>
      <c r="AU34" s="20">
        <v>9500</v>
      </c>
      <c r="AV34" s="20">
        <v>10300</v>
      </c>
      <c r="AW34" s="15">
        <f t="shared" si="20"/>
        <v>447.82608695652175</v>
      </c>
      <c r="AX34" s="20">
        <v>6110</v>
      </c>
      <c r="AY34" s="20">
        <f t="shared" si="21"/>
        <v>470</v>
      </c>
      <c r="AZ34" s="8">
        <v>9900</v>
      </c>
      <c r="BA34" s="8">
        <f t="shared" si="22"/>
        <v>450</v>
      </c>
      <c r="BB34" s="4"/>
    </row>
    <row r="35" spans="1:54" x14ac:dyDescent="0.25">
      <c r="A35" s="6">
        <f t="shared" si="0"/>
        <v>784.3</v>
      </c>
      <c r="B35" s="9">
        <v>1.1499999999999999</v>
      </c>
      <c r="C35" s="20">
        <v>682</v>
      </c>
      <c r="D35" s="28">
        <f t="shared" si="1"/>
        <v>31</v>
      </c>
      <c r="E35" s="9" t="s">
        <v>17</v>
      </c>
      <c r="F35" s="9" t="s">
        <v>74</v>
      </c>
      <c r="I35" s="20">
        <v>300</v>
      </c>
      <c r="J35" s="35">
        <f t="shared" si="2"/>
        <v>37.142857142857146</v>
      </c>
      <c r="K35" s="20">
        <v>520</v>
      </c>
      <c r="L35" s="35">
        <f t="shared" si="3"/>
        <v>30</v>
      </c>
      <c r="M35" s="20">
        <v>630</v>
      </c>
      <c r="N35" s="35">
        <f t="shared" si="4"/>
        <v>30</v>
      </c>
      <c r="O35" s="20">
        <v>690</v>
      </c>
      <c r="P35" s="35">
        <f t="shared" si="5"/>
        <v>30</v>
      </c>
      <c r="Q35" s="20">
        <v>630</v>
      </c>
      <c r="R35" s="35">
        <f t="shared" si="6"/>
        <v>29.545454545454547</v>
      </c>
      <c r="S35" s="20">
        <v>650</v>
      </c>
      <c r="T35" s="35">
        <f t="shared" si="7"/>
        <v>30</v>
      </c>
      <c r="U35" s="20">
        <v>630</v>
      </c>
      <c r="V35" s="35">
        <f t="shared" si="8"/>
        <v>30</v>
      </c>
      <c r="W35" s="20">
        <v>630</v>
      </c>
      <c r="X35" s="35">
        <f t="shared" si="9"/>
        <v>30</v>
      </c>
      <c r="Y35" s="20">
        <v>690</v>
      </c>
      <c r="Z35" s="35">
        <f t="shared" si="10"/>
        <v>30</v>
      </c>
      <c r="AA35" s="20">
        <v>360</v>
      </c>
      <c r="AB35" s="35">
        <f t="shared" si="11"/>
        <v>30</v>
      </c>
      <c r="AC35" s="20">
        <v>630</v>
      </c>
      <c r="AD35" s="35">
        <f t="shared" si="12"/>
        <v>30</v>
      </c>
      <c r="AE35" s="20">
        <v>570</v>
      </c>
      <c r="AF35" s="34">
        <f t="shared" si="13"/>
        <v>0</v>
      </c>
      <c r="AG35" s="20">
        <v>0</v>
      </c>
      <c r="AH35" s="33">
        <f t="shared" si="14"/>
        <v>30</v>
      </c>
      <c r="AI35" s="20">
        <v>570</v>
      </c>
      <c r="AJ35" s="32">
        <f t="shared" si="15"/>
        <v>29.523809523809526</v>
      </c>
      <c r="AK35" s="20">
        <v>620</v>
      </c>
      <c r="AL35" s="28">
        <v>26.956521739130434</v>
      </c>
      <c r="AM35" s="20">
        <v>620</v>
      </c>
      <c r="AN35" s="31">
        <f t="shared" si="16"/>
        <v>27.5</v>
      </c>
      <c r="AO35" s="20">
        <v>550</v>
      </c>
      <c r="AP35" s="29">
        <f t="shared" si="17"/>
        <v>26.956521739130434</v>
      </c>
      <c r="AQ35" s="20">
        <v>620</v>
      </c>
      <c r="AR35" s="15">
        <f t="shared" si="18"/>
        <v>27</v>
      </c>
      <c r="AS35" s="20">
        <v>540</v>
      </c>
      <c r="AT35" s="15">
        <f t="shared" si="19"/>
        <v>26.904761904761905</v>
      </c>
      <c r="AU35" s="20">
        <v>565</v>
      </c>
      <c r="AV35" s="20">
        <v>630</v>
      </c>
      <c r="AW35" s="15">
        <f t="shared" si="20"/>
        <v>27.391304347826086</v>
      </c>
      <c r="AX35" s="20">
        <v>480</v>
      </c>
      <c r="AY35" s="20">
        <f t="shared" si="21"/>
        <v>36.92307692307692</v>
      </c>
      <c r="AZ35" s="8">
        <v>600</v>
      </c>
      <c r="BA35" s="8">
        <f t="shared" si="22"/>
        <v>27.272727272727273</v>
      </c>
      <c r="BB35" s="4"/>
    </row>
    <row r="36" spans="1:54" x14ac:dyDescent="0.25">
      <c r="A36" s="6">
        <f t="shared" si="0"/>
        <v>50600</v>
      </c>
      <c r="B36" s="9">
        <v>5.75</v>
      </c>
      <c r="C36" s="20">
        <v>8800</v>
      </c>
      <c r="D36" s="28">
        <f t="shared" si="1"/>
        <v>400</v>
      </c>
      <c r="E36" s="9" t="s">
        <v>17</v>
      </c>
      <c r="F36" s="9" t="s">
        <v>19</v>
      </c>
      <c r="I36" s="20">
        <v>2750</v>
      </c>
      <c r="J36" s="35">
        <f t="shared" si="2"/>
        <v>435.71428571428572</v>
      </c>
      <c r="K36" s="20">
        <v>6100</v>
      </c>
      <c r="L36" s="35">
        <f t="shared" si="3"/>
        <v>400</v>
      </c>
      <c r="M36" s="20">
        <v>8400</v>
      </c>
      <c r="N36" s="35">
        <f t="shared" si="4"/>
        <v>400</v>
      </c>
      <c r="O36" s="20">
        <v>9200</v>
      </c>
      <c r="P36" s="35">
        <f t="shared" si="5"/>
        <v>400</v>
      </c>
      <c r="Q36" s="20">
        <v>8400</v>
      </c>
      <c r="R36" s="35">
        <f t="shared" si="6"/>
        <v>400</v>
      </c>
      <c r="S36" s="20">
        <v>8800</v>
      </c>
      <c r="T36" s="35">
        <f t="shared" si="7"/>
        <v>400</v>
      </c>
      <c r="U36" s="20">
        <v>8400</v>
      </c>
      <c r="V36" s="35">
        <f t="shared" si="8"/>
        <v>360</v>
      </c>
      <c r="W36" s="20">
        <v>7560</v>
      </c>
      <c r="X36" s="35">
        <f t="shared" si="9"/>
        <v>400</v>
      </c>
      <c r="Y36" s="20">
        <v>9200</v>
      </c>
      <c r="Z36" s="35">
        <f t="shared" si="10"/>
        <v>405</v>
      </c>
      <c r="AA36" s="20">
        <v>4860</v>
      </c>
      <c r="AB36" s="35">
        <f t="shared" si="11"/>
        <v>405</v>
      </c>
      <c r="AC36" s="20">
        <v>8505</v>
      </c>
      <c r="AD36" s="35">
        <f t="shared" si="12"/>
        <v>434.4736842105263</v>
      </c>
      <c r="AE36" s="20">
        <v>8255</v>
      </c>
      <c r="AF36" s="34">
        <f t="shared" si="13"/>
        <v>50</v>
      </c>
      <c r="AG36" s="20">
        <v>850</v>
      </c>
      <c r="AH36" s="33">
        <f t="shared" si="14"/>
        <v>405</v>
      </c>
      <c r="AI36" s="20">
        <v>7695</v>
      </c>
      <c r="AJ36" s="32">
        <f t="shared" si="15"/>
        <v>404.76190476190476</v>
      </c>
      <c r="AK36" s="20">
        <v>8500</v>
      </c>
      <c r="AL36" s="28">
        <v>400</v>
      </c>
      <c r="AM36" s="20">
        <v>9200</v>
      </c>
      <c r="AN36" s="31">
        <f t="shared" si="16"/>
        <v>410</v>
      </c>
      <c r="AO36" s="20">
        <v>8200</v>
      </c>
      <c r="AP36" s="29">
        <f t="shared" si="17"/>
        <v>400</v>
      </c>
      <c r="AQ36" s="20">
        <v>9200</v>
      </c>
      <c r="AR36" s="15">
        <f t="shared" si="18"/>
        <v>400</v>
      </c>
      <c r="AS36" s="20">
        <v>8000</v>
      </c>
      <c r="AT36" s="15">
        <f t="shared" si="19"/>
        <v>400</v>
      </c>
      <c r="AU36" s="20">
        <v>8400</v>
      </c>
      <c r="AV36" s="20">
        <v>9500</v>
      </c>
      <c r="AW36" s="15">
        <f t="shared" si="20"/>
        <v>413.04347826086956</v>
      </c>
      <c r="AX36" s="20">
        <v>6500</v>
      </c>
      <c r="AY36" s="20">
        <f t="shared" si="21"/>
        <v>500</v>
      </c>
      <c r="AZ36" s="8">
        <v>10000</v>
      </c>
      <c r="BA36" s="8">
        <f t="shared" si="22"/>
        <v>454.54545454545456</v>
      </c>
      <c r="BB36" s="4"/>
    </row>
    <row r="37" spans="1:54" x14ac:dyDescent="0.25">
      <c r="A37" s="6">
        <f t="shared" si="0"/>
        <v>50600</v>
      </c>
      <c r="B37" s="9">
        <v>5.75</v>
      </c>
      <c r="C37" s="20">
        <v>8800</v>
      </c>
      <c r="D37" s="28">
        <f t="shared" si="1"/>
        <v>400</v>
      </c>
      <c r="E37" s="9" t="s">
        <v>17</v>
      </c>
      <c r="F37" s="9" t="s">
        <v>75</v>
      </c>
      <c r="I37" s="20">
        <v>2750</v>
      </c>
      <c r="J37" s="35">
        <f t="shared" si="2"/>
        <v>435.71428571428572</v>
      </c>
      <c r="K37" s="20">
        <v>6100</v>
      </c>
      <c r="L37" s="35">
        <f t="shared" si="3"/>
        <v>400</v>
      </c>
      <c r="M37" s="20">
        <v>8400</v>
      </c>
      <c r="N37" s="35">
        <f t="shared" si="4"/>
        <v>400</v>
      </c>
      <c r="O37" s="20">
        <v>9200</v>
      </c>
      <c r="P37" s="35">
        <f t="shared" si="5"/>
        <v>400</v>
      </c>
      <c r="Q37" s="20">
        <v>8400</v>
      </c>
      <c r="R37" s="35">
        <f t="shared" si="6"/>
        <v>460</v>
      </c>
      <c r="S37" s="20">
        <v>10120</v>
      </c>
      <c r="T37" s="35">
        <f t="shared" si="7"/>
        <v>400</v>
      </c>
      <c r="U37" s="20">
        <v>8400</v>
      </c>
      <c r="V37" s="35">
        <f t="shared" si="8"/>
        <v>360</v>
      </c>
      <c r="W37" s="20">
        <v>7560</v>
      </c>
      <c r="X37" s="35">
        <f t="shared" si="9"/>
        <v>400</v>
      </c>
      <c r="Y37" s="20">
        <v>9200</v>
      </c>
      <c r="Z37" s="35">
        <f t="shared" si="10"/>
        <v>405</v>
      </c>
      <c r="AA37" s="20">
        <v>4860</v>
      </c>
      <c r="AB37" s="35">
        <f t="shared" si="11"/>
        <v>405</v>
      </c>
      <c r="AC37" s="20">
        <v>8505</v>
      </c>
      <c r="AD37" s="35">
        <f t="shared" si="12"/>
        <v>405</v>
      </c>
      <c r="AE37" s="20">
        <v>7695</v>
      </c>
      <c r="AF37" s="34">
        <f t="shared" si="13"/>
        <v>50</v>
      </c>
      <c r="AG37" s="20">
        <v>850</v>
      </c>
      <c r="AH37" s="33">
        <f t="shared" si="14"/>
        <v>405</v>
      </c>
      <c r="AI37" s="20">
        <v>7695</v>
      </c>
      <c r="AJ37" s="32">
        <f t="shared" si="15"/>
        <v>404.76190476190476</v>
      </c>
      <c r="AK37" s="20">
        <v>8500</v>
      </c>
      <c r="AL37" s="28">
        <v>400</v>
      </c>
      <c r="AM37" s="20">
        <v>9200</v>
      </c>
      <c r="AN37" s="31">
        <f t="shared" si="16"/>
        <v>410</v>
      </c>
      <c r="AO37" s="20">
        <v>8200</v>
      </c>
      <c r="AP37" s="29">
        <f t="shared" si="17"/>
        <v>400</v>
      </c>
      <c r="AQ37" s="20">
        <v>9200</v>
      </c>
      <c r="AR37" s="15">
        <f t="shared" si="18"/>
        <v>400</v>
      </c>
      <c r="AS37" s="20">
        <v>8000</v>
      </c>
      <c r="AT37" s="15">
        <f t="shared" si="19"/>
        <v>400</v>
      </c>
      <c r="AU37" s="20">
        <v>8400</v>
      </c>
      <c r="AV37" s="20">
        <v>9500</v>
      </c>
      <c r="AW37" s="15">
        <f t="shared" si="20"/>
        <v>413.04347826086956</v>
      </c>
      <c r="AX37" s="20">
        <v>6500</v>
      </c>
      <c r="AY37" s="20">
        <f t="shared" si="21"/>
        <v>500</v>
      </c>
      <c r="AZ37" s="8">
        <v>10000</v>
      </c>
      <c r="BA37" s="8">
        <f t="shared" si="22"/>
        <v>454.54545454545456</v>
      </c>
      <c r="BB37" s="4"/>
    </row>
    <row r="38" spans="1:54" x14ac:dyDescent="0.25">
      <c r="A38" s="6">
        <f t="shared" si="0"/>
        <v>26136</v>
      </c>
      <c r="B38" s="9">
        <v>4.95</v>
      </c>
      <c r="C38" s="20">
        <v>5280</v>
      </c>
      <c r="D38" s="28">
        <f t="shared" si="1"/>
        <v>240</v>
      </c>
      <c r="E38" s="9" t="s">
        <v>17</v>
      </c>
      <c r="F38" s="9" t="s">
        <v>20</v>
      </c>
      <c r="I38" s="20">
        <v>2200</v>
      </c>
      <c r="J38" s="35">
        <f t="shared" si="2"/>
        <v>261.42857142857144</v>
      </c>
      <c r="K38" s="20">
        <v>3660</v>
      </c>
      <c r="L38" s="35">
        <f t="shared" si="3"/>
        <v>240</v>
      </c>
      <c r="M38" s="20">
        <v>5040</v>
      </c>
      <c r="N38" s="35">
        <f t="shared" si="4"/>
        <v>240</v>
      </c>
      <c r="O38" s="20">
        <v>5520</v>
      </c>
      <c r="P38" s="35">
        <f t="shared" si="5"/>
        <v>240</v>
      </c>
      <c r="Q38" s="20">
        <v>5040</v>
      </c>
      <c r="R38" s="35">
        <f t="shared" si="6"/>
        <v>240</v>
      </c>
      <c r="S38" s="20">
        <v>5280</v>
      </c>
      <c r="T38" s="35">
        <f t="shared" si="7"/>
        <v>240</v>
      </c>
      <c r="U38" s="20">
        <v>5040</v>
      </c>
      <c r="V38" s="35">
        <f t="shared" si="8"/>
        <v>216</v>
      </c>
      <c r="W38" s="20">
        <v>4536</v>
      </c>
      <c r="X38" s="35">
        <f t="shared" si="9"/>
        <v>240.13043478260869</v>
      </c>
      <c r="Y38" s="20">
        <v>5523</v>
      </c>
      <c r="Z38" s="35">
        <f t="shared" si="10"/>
        <v>240</v>
      </c>
      <c r="AA38" s="20">
        <v>2880</v>
      </c>
      <c r="AB38" s="35">
        <f t="shared" si="11"/>
        <v>240</v>
      </c>
      <c r="AC38" s="20">
        <v>5040</v>
      </c>
      <c r="AD38" s="35">
        <f t="shared" si="12"/>
        <v>240</v>
      </c>
      <c r="AE38" s="20">
        <v>4560</v>
      </c>
      <c r="AF38" s="34">
        <f t="shared" si="13"/>
        <v>50</v>
      </c>
      <c r="AG38" s="20">
        <v>850</v>
      </c>
      <c r="AH38" s="33">
        <f t="shared" si="14"/>
        <v>240</v>
      </c>
      <c r="AI38" s="20">
        <v>4560</v>
      </c>
      <c r="AJ38" s="32">
        <f t="shared" si="15"/>
        <v>240.47619047619048</v>
      </c>
      <c r="AK38" s="20">
        <v>5050</v>
      </c>
      <c r="AL38" s="28">
        <v>240</v>
      </c>
      <c r="AM38" s="20">
        <v>5520</v>
      </c>
      <c r="AN38" s="31">
        <f t="shared" si="16"/>
        <v>240</v>
      </c>
      <c r="AO38" s="20">
        <v>4800</v>
      </c>
      <c r="AP38" s="29">
        <f t="shared" si="17"/>
        <v>230</v>
      </c>
      <c r="AQ38" s="20">
        <v>5290</v>
      </c>
      <c r="AR38" s="15">
        <f t="shared" si="18"/>
        <v>230</v>
      </c>
      <c r="AS38" s="20">
        <v>4600</v>
      </c>
      <c r="AT38" s="15">
        <f t="shared" si="19"/>
        <v>228.57142857142858</v>
      </c>
      <c r="AU38" s="20">
        <v>4800</v>
      </c>
      <c r="AV38" s="20">
        <v>5250</v>
      </c>
      <c r="AW38" s="15">
        <f t="shared" si="20"/>
        <v>228.2608695652174</v>
      </c>
      <c r="AX38" s="20">
        <v>2860</v>
      </c>
      <c r="AY38" s="20">
        <f t="shared" si="21"/>
        <v>220</v>
      </c>
      <c r="AZ38" s="8">
        <v>5000</v>
      </c>
      <c r="BA38" s="8">
        <f t="shared" si="22"/>
        <v>227.27272727272728</v>
      </c>
      <c r="BB38" s="4"/>
    </row>
    <row r="39" spans="1:54" x14ac:dyDescent="0.25">
      <c r="A39" s="6">
        <f t="shared" si="0"/>
        <v>19250</v>
      </c>
      <c r="B39" s="10">
        <v>1.75</v>
      </c>
      <c r="C39" s="20">
        <v>11000</v>
      </c>
      <c r="D39" s="28">
        <f t="shared" si="1"/>
        <v>500</v>
      </c>
      <c r="E39" s="9" t="s">
        <v>78</v>
      </c>
      <c r="F39" s="9" t="s">
        <v>77</v>
      </c>
      <c r="G39" s="38" t="s">
        <v>116</v>
      </c>
      <c r="H39" s="38"/>
      <c r="I39" s="20">
        <v>2400</v>
      </c>
      <c r="J39" s="35">
        <f t="shared" si="2"/>
        <v>620</v>
      </c>
      <c r="K39" s="20">
        <v>8680</v>
      </c>
      <c r="L39" s="35">
        <f t="shared" si="3"/>
        <v>500</v>
      </c>
      <c r="M39" s="20">
        <v>10500</v>
      </c>
      <c r="N39" s="35">
        <f t="shared" si="4"/>
        <v>500</v>
      </c>
      <c r="O39" s="20">
        <v>11500</v>
      </c>
      <c r="P39" s="35">
        <f t="shared" si="5"/>
        <v>500</v>
      </c>
      <c r="Q39" s="20">
        <v>10500</v>
      </c>
      <c r="R39" s="35">
        <f t="shared" si="6"/>
        <v>500</v>
      </c>
      <c r="S39" s="20">
        <v>11000</v>
      </c>
      <c r="T39" s="35">
        <f t="shared" si="7"/>
        <v>500</v>
      </c>
      <c r="U39" s="20">
        <v>10500</v>
      </c>
      <c r="V39" s="35">
        <f t="shared" si="8"/>
        <v>500</v>
      </c>
      <c r="W39" s="20">
        <v>10500</v>
      </c>
      <c r="X39" s="35">
        <f t="shared" si="9"/>
        <v>500</v>
      </c>
      <c r="Y39" s="20">
        <v>11500</v>
      </c>
      <c r="Z39" s="35">
        <f t="shared" si="10"/>
        <v>500</v>
      </c>
      <c r="AA39" s="20">
        <v>6000</v>
      </c>
      <c r="AB39" s="35">
        <f t="shared" si="11"/>
        <v>500</v>
      </c>
      <c r="AC39" s="20">
        <v>10500</v>
      </c>
      <c r="AD39" s="35">
        <f t="shared" si="12"/>
        <v>500</v>
      </c>
      <c r="AE39" s="20">
        <v>9500</v>
      </c>
      <c r="AF39" s="34">
        <f t="shared" si="13"/>
        <v>0</v>
      </c>
      <c r="AG39" s="20">
        <v>0</v>
      </c>
      <c r="AH39" s="33">
        <f t="shared" si="14"/>
        <v>500</v>
      </c>
      <c r="AI39" s="20">
        <v>9500</v>
      </c>
      <c r="AJ39" s="32">
        <f t="shared" si="15"/>
        <v>500</v>
      </c>
      <c r="AK39" s="20">
        <v>10500</v>
      </c>
      <c r="AL39" s="28">
        <v>500</v>
      </c>
      <c r="AM39" s="20">
        <v>11500</v>
      </c>
      <c r="AN39" s="31">
        <f t="shared" si="16"/>
        <v>500</v>
      </c>
      <c r="AO39" s="20">
        <v>10000</v>
      </c>
      <c r="AP39" s="29">
        <f t="shared" si="17"/>
        <v>500</v>
      </c>
      <c r="AQ39" s="20">
        <v>11500</v>
      </c>
      <c r="AR39" s="15">
        <f t="shared" si="18"/>
        <v>500</v>
      </c>
      <c r="AS39" s="20">
        <v>10000</v>
      </c>
      <c r="AT39" s="15">
        <f t="shared" si="19"/>
        <v>500</v>
      </c>
      <c r="AU39" s="20">
        <v>10500</v>
      </c>
      <c r="AV39" s="20">
        <v>13400</v>
      </c>
      <c r="AW39" s="15">
        <f t="shared" si="20"/>
        <v>582.60869565217388</v>
      </c>
      <c r="AX39" s="20">
        <v>6650</v>
      </c>
      <c r="AY39" s="20">
        <f t="shared" si="21"/>
        <v>511.53846153846155</v>
      </c>
      <c r="AZ39" s="8">
        <v>13000</v>
      </c>
      <c r="BA39" s="8">
        <f t="shared" si="22"/>
        <v>590.90909090909088</v>
      </c>
      <c r="BB39" s="4"/>
    </row>
    <row r="40" spans="1:54" x14ac:dyDescent="0.25">
      <c r="A40" s="6">
        <f t="shared" si="0"/>
        <v>13130</v>
      </c>
      <c r="B40" s="7">
        <v>5.2</v>
      </c>
      <c r="C40" s="20">
        <v>2525</v>
      </c>
      <c r="D40" s="28">
        <f t="shared" si="1"/>
        <v>114.77272727272727</v>
      </c>
      <c r="E40" s="9" t="s">
        <v>17</v>
      </c>
      <c r="F40" s="9" t="s">
        <v>79</v>
      </c>
      <c r="G40" s="18" t="s">
        <v>114</v>
      </c>
      <c r="H40" s="18"/>
      <c r="I40" s="20">
        <v>2525</v>
      </c>
      <c r="J40" s="35">
        <f t="shared" si="2"/>
        <v>180.35714285714286</v>
      </c>
      <c r="K40" s="20">
        <v>2525</v>
      </c>
      <c r="L40" s="35">
        <f t="shared" si="3"/>
        <v>120.23809523809524</v>
      </c>
      <c r="M40" s="20">
        <v>2525</v>
      </c>
      <c r="N40" s="35">
        <f t="shared" si="4"/>
        <v>109.78260869565217</v>
      </c>
      <c r="O40" s="20">
        <v>2525</v>
      </c>
      <c r="P40" s="35">
        <f t="shared" si="5"/>
        <v>120.23809523809524</v>
      </c>
      <c r="Q40" s="20">
        <v>2525</v>
      </c>
      <c r="R40" s="35">
        <f t="shared" si="6"/>
        <v>114.77272727272727</v>
      </c>
      <c r="S40" s="20">
        <v>2525</v>
      </c>
      <c r="T40" s="35">
        <f t="shared" si="7"/>
        <v>120.23809523809524</v>
      </c>
      <c r="U40" s="20">
        <v>2525</v>
      </c>
      <c r="V40" s="35">
        <f t="shared" si="8"/>
        <v>120.23809523809524</v>
      </c>
      <c r="W40" s="20">
        <v>2525</v>
      </c>
      <c r="X40" s="35">
        <f t="shared" si="9"/>
        <v>109.78260869565217</v>
      </c>
      <c r="Y40" s="20">
        <v>2525</v>
      </c>
      <c r="Z40" s="35">
        <f t="shared" si="10"/>
        <v>210.41666666666666</v>
      </c>
      <c r="AA40" s="20">
        <v>2525</v>
      </c>
      <c r="AB40" s="35">
        <f t="shared" si="11"/>
        <v>120.23809523809524</v>
      </c>
      <c r="AC40" s="20">
        <v>2525</v>
      </c>
      <c r="AD40" s="35">
        <f t="shared" si="12"/>
        <v>265.78947368421052</v>
      </c>
      <c r="AE40" s="20">
        <v>5050</v>
      </c>
      <c r="AF40" s="34">
        <f t="shared" si="13"/>
        <v>297.05882352941177</v>
      </c>
      <c r="AG40" s="20">
        <v>5050</v>
      </c>
      <c r="AH40" s="33">
        <f t="shared" si="14"/>
        <v>265.78947368421052</v>
      </c>
      <c r="AI40" s="20">
        <v>5050</v>
      </c>
      <c r="AJ40" s="32">
        <f t="shared" si="15"/>
        <v>240.47619047619048</v>
      </c>
      <c r="AK40" s="20">
        <v>5050</v>
      </c>
      <c r="AL40" s="28">
        <v>219.56521739130434</v>
      </c>
      <c r="AM40" s="20">
        <v>5050</v>
      </c>
      <c r="AN40" s="31">
        <f t="shared" si="16"/>
        <v>252.5</v>
      </c>
      <c r="AO40" s="20">
        <v>5050</v>
      </c>
      <c r="AP40" s="29">
        <f t="shared" si="17"/>
        <v>219.56521739130434</v>
      </c>
      <c r="AQ40" s="20">
        <v>5050</v>
      </c>
      <c r="AR40" s="15">
        <f t="shared" si="18"/>
        <v>252.5</v>
      </c>
      <c r="AS40" s="20">
        <v>5050</v>
      </c>
      <c r="AT40" s="15">
        <f t="shared" si="19"/>
        <v>240.47619047619048</v>
      </c>
      <c r="AU40" s="20">
        <v>5050</v>
      </c>
      <c r="AV40" s="20">
        <v>5050</v>
      </c>
      <c r="AW40" s="15">
        <f t="shared" si="20"/>
        <v>219.56521739130434</v>
      </c>
      <c r="AX40" s="20">
        <v>2025</v>
      </c>
      <c r="AY40" s="20">
        <f t="shared" si="21"/>
        <v>155.76923076923077</v>
      </c>
      <c r="AZ40" s="8">
        <v>0</v>
      </c>
      <c r="BA40" s="8">
        <f t="shared" si="22"/>
        <v>0</v>
      </c>
      <c r="BB40" s="4"/>
    </row>
    <row r="41" spans="1:54" x14ac:dyDescent="0.25">
      <c r="A41" s="6">
        <f t="shared" si="0"/>
        <v>13992</v>
      </c>
      <c r="B41" s="9">
        <v>3</v>
      </c>
      <c r="C41" s="20">
        <v>4664</v>
      </c>
      <c r="D41" s="28">
        <f t="shared" si="1"/>
        <v>212</v>
      </c>
      <c r="E41" s="9" t="s">
        <v>17</v>
      </c>
      <c r="F41" s="9" t="s">
        <v>80</v>
      </c>
      <c r="I41" s="20"/>
      <c r="J41" s="35">
        <f t="shared" si="2"/>
        <v>247.71428571428572</v>
      </c>
      <c r="K41" s="20">
        <v>3468</v>
      </c>
      <c r="L41" s="35">
        <f t="shared" si="3"/>
        <v>212</v>
      </c>
      <c r="M41" s="20">
        <v>4452</v>
      </c>
      <c r="N41" s="35">
        <f t="shared" si="4"/>
        <v>212</v>
      </c>
      <c r="O41" s="20">
        <v>4876</v>
      </c>
      <c r="P41" s="35">
        <f t="shared" si="5"/>
        <v>210</v>
      </c>
      <c r="Q41" s="20">
        <v>4410</v>
      </c>
      <c r="R41" s="35">
        <f t="shared" si="6"/>
        <v>220.45454545454547</v>
      </c>
      <c r="S41" s="20">
        <v>4850</v>
      </c>
      <c r="T41" s="35">
        <f t="shared" si="7"/>
        <v>210</v>
      </c>
      <c r="U41" s="20">
        <v>4410</v>
      </c>
      <c r="V41" s="35">
        <f t="shared" si="8"/>
        <v>224</v>
      </c>
      <c r="W41" s="20">
        <v>4704</v>
      </c>
      <c r="X41" s="35">
        <f t="shared" si="9"/>
        <v>210</v>
      </c>
      <c r="Y41" s="20">
        <v>4830</v>
      </c>
      <c r="Z41" s="35">
        <f t="shared" si="10"/>
        <v>210</v>
      </c>
      <c r="AA41" s="20">
        <v>2520</v>
      </c>
      <c r="AB41" s="35">
        <f t="shared" si="11"/>
        <v>210</v>
      </c>
      <c r="AC41" s="20">
        <v>4410</v>
      </c>
      <c r="AD41" s="35">
        <f t="shared" si="12"/>
        <v>210</v>
      </c>
      <c r="AE41" s="20">
        <v>3990</v>
      </c>
      <c r="AF41" s="34">
        <f t="shared" si="13"/>
        <v>50</v>
      </c>
      <c r="AG41" s="20">
        <v>850</v>
      </c>
      <c r="AH41" s="33">
        <f t="shared" si="14"/>
        <v>210</v>
      </c>
      <c r="AI41" s="20">
        <v>3990</v>
      </c>
      <c r="AJ41" s="32">
        <f t="shared" si="15"/>
        <v>210</v>
      </c>
      <c r="AK41" s="20">
        <v>4410</v>
      </c>
      <c r="AL41" s="28">
        <v>210.86956521739131</v>
      </c>
      <c r="AM41" s="20">
        <v>4850</v>
      </c>
      <c r="AN41" s="31">
        <f t="shared" si="16"/>
        <v>210</v>
      </c>
      <c r="AO41" s="20">
        <v>4200</v>
      </c>
      <c r="AP41" s="29">
        <f t="shared" si="17"/>
        <v>210.86956521739131</v>
      </c>
      <c r="AQ41" s="20">
        <v>4850</v>
      </c>
      <c r="AR41" s="15">
        <f t="shared" si="18"/>
        <v>210</v>
      </c>
      <c r="AS41" s="20">
        <v>4200</v>
      </c>
      <c r="AT41" s="15">
        <f t="shared" si="19"/>
        <v>209.52380952380952</v>
      </c>
      <c r="AU41" s="20">
        <v>4400</v>
      </c>
      <c r="AV41" s="20">
        <v>4750</v>
      </c>
      <c r="AW41" s="15">
        <f t="shared" si="20"/>
        <v>206.52173913043478</v>
      </c>
      <c r="AX41" s="20">
        <v>2250</v>
      </c>
      <c r="AY41" s="20">
        <f t="shared" si="21"/>
        <v>173.07692307692307</v>
      </c>
      <c r="AZ41" s="8">
        <v>4500</v>
      </c>
      <c r="BA41" s="8">
        <f t="shared" si="22"/>
        <v>204.54545454545453</v>
      </c>
      <c r="BB41" s="4"/>
    </row>
    <row r="42" spans="1:54" x14ac:dyDescent="0.25">
      <c r="A42" s="6">
        <f t="shared" si="0"/>
        <v>92547.4</v>
      </c>
      <c r="B42" s="9">
        <v>18.29</v>
      </c>
      <c r="C42" s="20">
        <v>5060</v>
      </c>
      <c r="D42" s="28">
        <f t="shared" si="1"/>
        <v>230</v>
      </c>
      <c r="E42" s="9" t="s">
        <v>17</v>
      </c>
      <c r="F42" s="9" t="s">
        <v>21</v>
      </c>
      <c r="G42" s="16" t="s">
        <v>110</v>
      </c>
      <c r="H42" s="16"/>
      <c r="I42" s="20"/>
      <c r="J42" s="35">
        <f t="shared" si="2"/>
        <v>230</v>
      </c>
      <c r="K42" s="20">
        <v>3220</v>
      </c>
      <c r="L42" s="35">
        <f t="shared" si="3"/>
        <v>230</v>
      </c>
      <c r="M42" s="20">
        <v>4830</v>
      </c>
      <c r="N42" s="35">
        <f t="shared" si="4"/>
        <v>230</v>
      </c>
      <c r="O42" s="20">
        <v>5290</v>
      </c>
      <c r="P42" s="35">
        <f t="shared" si="5"/>
        <v>230</v>
      </c>
      <c r="Q42" s="20">
        <v>4830</v>
      </c>
      <c r="R42" s="35">
        <f t="shared" si="6"/>
        <v>264.5</v>
      </c>
      <c r="S42" s="20">
        <v>5819</v>
      </c>
      <c r="T42" s="35">
        <f t="shared" si="7"/>
        <v>230</v>
      </c>
      <c r="U42" s="20">
        <v>4830</v>
      </c>
      <c r="V42" s="35">
        <f t="shared" si="8"/>
        <v>207</v>
      </c>
      <c r="W42" s="20">
        <v>4347</v>
      </c>
      <c r="X42" s="35">
        <f t="shared" si="9"/>
        <v>230.43478260869566</v>
      </c>
      <c r="Y42" s="20">
        <v>5300</v>
      </c>
      <c r="Z42" s="35">
        <f t="shared" si="10"/>
        <v>230</v>
      </c>
      <c r="AA42" s="20">
        <v>2760</v>
      </c>
      <c r="AB42" s="35">
        <f t="shared" si="11"/>
        <v>230.04761904761904</v>
      </c>
      <c r="AC42" s="20">
        <v>4831</v>
      </c>
      <c r="AD42" s="35">
        <f t="shared" si="12"/>
        <v>177</v>
      </c>
      <c r="AE42" s="20">
        <v>3363</v>
      </c>
      <c r="AF42" s="34">
        <f t="shared" si="13"/>
        <v>0</v>
      </c>
      <c r="AG42" s="20">
        <v>0</v>
      </c>
      <c r="AH42" s="33">
        <f t="shared" si="14"/>
        <v>160</v>
      </c>
      <c r="AI42" s="20">
        <v>3040</v>
      </c>
      <c r="AJ42" s="32">
        <f t="shared" si="15"/>
        <v>154.76190476190476</v>
      </c>
      <c r="AK42" s="20">
        <v>3250</v>
      </c>
      <c r="AL42" s="28">
        <v>153.04347826086956</v>
      </c>
      <c r="AM42" s="20">
        <v>3520</v>
      </c>
      <c r="AN42" s="31">
        <f t="shared" si="16"/>
        <v>153</v>
      </c>
      <c r="AO42" s="20">
        <v>3060</v>
      </c>
      <c r="AP42" s="29">
        <f t="shared" si="17"/>
        <v>153.04347826086956</v>
      </c>
      <c r="AQ42" s="20">
        <v>3520</v>
      </c>
      <c r="AR42" s="15">
        <f t="shared" si="18"/>
        <v>150</v>
      </c>
      <c r="AS42" s="20">
        <v>3000</v>
      </c>
      <c r="AT42" s="15">
        <f t="shared" si="19"/>
        <v>150</v>
      </c>
      <c r="AU42" s="20">
        <v>3150</v>
      </c>
      <c r="AV42" s="20">
        <v>4200</v>
      </c>
      <c r="AW42" s="15">
        <f t="shared" si="20"/>
        <v>182.60869565217391</v>
      </c>
      <c r="AX42" s="20">
        <v>1885</v>
      </c>
      <c r="AY42" s="20">
        <f t="shared" si="21"/>
        <v>145</v>
      </c>
      <c r="AZ42" s="8">
        <v>4000</v>
      </c>
      <c r="BA42" s="8">
        <f t="shared" si="22"/>
        <v>181.81818181818181</v>
      </c>
      <c r="BB42" s="4"/>
    </row>
    <row r="43" spans="1:54" x14ac:dyDescent="0.25">
      <c r="A43" s="6">
        <f t="shared" si="0"/>
        <v>52624</v>
      </c>
      <c r="B43" s="9">
        <v>14.95</v>
      </c>
      <c r="C43" s="20">
        <v>3520</v>
      </c>
      <c r="D43" s="28">
        <f t="shared" si="1"/>
        <v>160</v>
      </c>
      <c r="E43" s="9" t="s">
        <v>17</v>
      </c>
      <c r="F43" s="9" t="s">
        <v>81</v>
      </c>
      <c r="I43" s="20"/>
      <c r="J43" s="35">
        <f t="shared" si="2"/>
        <v>160</v>
      </c>
      <c r="K43" s="20">
        <v>2240</v>
      </c>
      <c r="L43" s="35">
        <f t="shared" si="3"/>
        <v>160</v>
      </c>
      <c r="M43" s="20">
        <v>3360</v>
      </c>
      <c r="N43" s="35">
        <f t="shared" si="4"/>
        <v>160</v>
      </c>
      <c r="O43" s="20">
        <v>3680</v>
      </c>
      <c r="P43" s="35">
        <f t="shared" si="5"/>
        <v>160</v>
      </c>
      <c r="Q43" s="20">
        <v>3360</v>
      </c>
      <c r="R43" s="35">
        <f t="shared" si="6"/>
        <v>160</v>
      </c>
      <c r="S43" s="20">
        <v>3520</v>
      </c>
      <c r="T43" s="35">
        <f t="shared" si="7"/>
        <v>160</v>
      </c>
      <c r="U43" s="20">
        <v>3360</v>
      </c>
      <c r="V43" s="35">
        <f t="shared" si="8"/>
        <v>160</v>
      </c>
      <c r="W43" s="20">
        <v>3360</v>
      </c>
      <c r="X43" s="35">
        <f t="shared" si="9"/>
        <v>160.86956521739131</v>
      </c>
      <c r="Y43" s="20">
        <v>3700</v>
      </c>
      <c r="Z43" s="35">
        <f t="shared" si="10"/>
        <v>161</v>
      </c>
      <c r="AA43" s="20">
        <v>1932</v>
      </c>
      <c r="AB43" s="35">
        <f t="shared" si="11"/>
        <v>160.95238095238096</v>
      </c>
      <c r="AC43" s="20">
        <v>3380</v>
      </c>
      <c r="AD43" s="35">
        <f t="shared" si="12"/>
        <v>161</v>
      </c>
      <c r="AE43" s="20">
        <v>3059</v>
      </c>
      <c r="AF43" s="34">
        <f t="shared" si="13"/>
        <v>0</v>
      </c>
      <c r="AG43" s="20">
        <v>0</v>
      </c>
      <c r="AH43" s="33">
        <f t="shared" si="14"/>
        <v>161</v>
      </c>
      <c r="AI43" s="20">
        <v>3059</v>
      </c>
      <c r="AJ43" s="32">
        <f t="shared" si="15"/>
        <v>160.95238095238096</v>
      </c>
      <c r="AK43" s="20">
        <v>3380</v>
      </c>
      <c r="AL43" s="28">
        <v>161.08695652173913</v>
      </c>
      <c r="AM43" s="20">
        <v>3705</v>
      </c>
      <c r="AN43" s="31">
        <f t="shared" si="16"/>
        <v>160</v>
      </c>
      <c r="AO43" s="20">
        <v>3200</v>
      </c>
      <c r="AP43" s="29">
        <f t="shared" si="17"/>
        <v>161.08695652173913</v>
      </c>
      <c r="AQ43" s="20">
        <v>3705</v>
      </c>
      <c r="AR43" s="15">
        <f t="shared" si="18"/>
        <v>160.5</v>
      </c>
      <c r="AS43" s="20">
        <v>3210</v>
      </c>
      <c r="AT43" s="15">
        <f t="shared" si="19"/>
        <v>160.47619047619048</v>
      </c>
      <c r="AU43" s="20">
        <v>3370</v>
      </c>
      <c r="AV43" s="20">
        <v>3670</v>
      </c>
      <c r="AW43" s="15">
        <f t="shared" si="20"/>
        <v>159.56521739130434</v>
      </c>
      <c r="AX43" s="20">
        <v>1950</v>
      </c>
      <c r="AY43" s="20">
        <f t="shared" si="21"/>
        <v>150</v>
      </c>
      <c r="AZ43" s="8">
        <v>3500</v>
      </c>
      <c r="BA43" s="8">
        <f t="shared" si="22"/>
        <v>159.09090909090909</v>
      </c>
      <c r="BB43" s="4"/>
    </row>
    <row r="44" spans="1:54" x14ac:dyDescent="0.25">
      <c r="A44" s="6">
        <f t="shared" si="0"/>
        <v>12988.8</v>
      </c>
      <c r="B44" s="9">
        <v>2.88</v>
      </c>
      <c r="C44" s="20">
        <v>4510</v>
      </c>
      <c r="D44" s="28">
        <f t="shared" si="1"/>
        <v>205</v>
      </c>
      <c r="E44" s="9" t="s">
        <v>17</v>
      </c>
      <c r="F44" s="9" t="s">
        <v>37</v>
      </c>
      <c r="I44" s="20"/>
      <c r="J44" s="35">
        <f t="shared" si="2"/>
        <v>240.71428571428572</v>
      </c>
      <c r="K44" s="20">
        <v>3370</v>
      </c>
      <c r="L44" s="35">
        <f t="shared" si="3"/>
        <v>205</v>
      </c>
      <c r="M44" s="20">
        <v>4305</v>
      </c>
      <c r="N44" s="35">
        <f t="shared" si="4"/>
        <v>205</v>
      </c>
      <c r="O44" s="20">
        <v>4715</v>
      </c>
      <c r="P44" s="35">
        <f t="shared" si="5"/>
        <v>205</v>
      </c>
      <c r="Q44" s="20">
        <v>4305</v>
      </c>
      <c r="R44" s="35">
        <f t="shared" si="6"/>
        <v>215.90909090909091</v>
      </c>
      <c r="S44" s="20">
        <v>4750</v>
      </c>
      <c r="T44" s="35">
        <f t="shared" si="7"/>
        <v>205</v>
      </c>
      <c r="U44" s="20">
        <v>4305</v>
      </c>
      <c r="V44" s="35">
        <f t="shared" si="8"/>
        <v>239.52380952380952</v>
      </c>
      <c r="W44" s="20">
        <v>5030</v>
      </c>
      <c r="X44" s="35">
        <f t="shared" si="9"/>
        <v>205</v>
      </c>
      <c r="Y44" s="20">
        <v>4715</v>
      </c>
      <c r="Z44" s="35">
        <f t="shared" si="10"/>
        <v>205</v>
      </c>
      <c r="AA44" s="20">
        <v>2460</v>
      </c>
      <c r="AB44" s="35">
        <f t="shared" si="11"/>
        <v>205</v>
      </c>
      <c r="AC44" s="20">
        <v>4305</v>
      </c>
      <c r="AD44" s="35">
        <f t="shared" si="12"/>
        <v>205</v>
      </c>
      <c r="AE44" s="20">
        <v>3895</v>
      </c>
      <c r="AF44" s="34">
        <f t="shared" si="13"/>
        <v>50</v>
      </c>
      <c r="AG44" s="20">
        <v>850</v>
      </c>
      <c r="AH44" s="33">
        <f t="shared" si="14"/>
        <v>205</v>
      </c>
      <c r="AI44" s="20">
        <v>3895</v>
      </c>
      <c r="AJ44" s="32">
        <f t="shared" si="15"/>
        <v>205.23809523809524</v>
      </c>
      <c r="AK44" s="20">
        <v>4310</v>
      </c>
      <c r="AL44" s="28">
        <v>205</v>
      </c>
      <c r="AM44" s="20">
        <v>4715</v>
      </c>
      <c r="AN44" s="31">
        <f t="shared" si="16"/>
        <v>210</v>
      </c>
      <c r="AO44" s="20">
        <v>4200</v>
      </c>
      <c r="AP44" s="29">
        <f t="shared" si="17"/>
        <v>205</v>
      </c>
      <c r="AQ44" s="20">
        <v>4715</v>
      </c>
      <c r="AR44" s="15">
        <f t="shared" si="18"/>
        <v>205</v>
      </c>
      <c r="AS44" s="20">
        <v>4100</v>
      </c>
      <c r="AT44" s="15">
        <f t="shared" si="19"/>
        <v>204.76190476190476</v>
      </c>
      <c r="AU44" s="20">
        <v>4300</v>
      </c>
      <c r="AV44" s="20">
        <v>4700</v>
      </c>
      <c r="AW44" s="15">
        <f t="shared" si="20"/>
        <v>204.34782608695653</v>
      </c>
      <c r="AX44" s="20">
        <v>2250</v>
      </c>
      <c r="AY44" s="20">
        <f t="shared" si="21"/>
        <v>173.07692307692307</v>
      </c>
      <c r="AZ44" s="8">
        <v>4500</v>
      </c>
      <c r="BA44" s="8">
        <f t="shared" si="22"/>
        <v>204.54545454545453</v>
      </c>
      <c r="BB44" s="4"/>
    </row>
    <row r="45" spans="1:54" x14ac:dyDescent="0.25">
      <c r="A45" s="6">
        <f t="shared" si="0"/>
        <v>8150</v>
      </c>
      <c r="B45" s="9">
        <v>326</v>
      </c>
      <c r="C45" s="20">
        <v>25</v>
      </c>
      <c r="D45" s="28">
        <f t="shared" si="1"/>
        <v>1.1363636363636365</v>
      </c>
      <c r="E45" s="9" t="s">
        <v>15</v>
      </c>
      <c r="F45" s="9" t="s">
        <v>82</v>
      </c>
      <c r="I45" s="20">
        <v>5</v>
      </c>
      <c r="J45" s="35">
        <f t="shared" si="2"/>
        <v>0</v>
      </c>
      <c r="K45" s="20"/>
      <c r="L45" s="35">
        <f t="shared" si="3"/>
        <v>0</v>
      </c>
      <c r="M45" s="20"/>
      <c r="N45" s="35">
        <f t="shared" si="4"/>
        <v>1.0434782608695652</v>
      </c>
      <c r="O45" s="20">
        <v>24</v>
      </c>
      <c r="P45" s="35">
        <f t="shared" si="5"/>
        <v>1.3333333333333333</v>
      </c>
      <c r="Q45" s="20">
        <v>28</v>
      </c>
      <c r="R45" s="35">
        <f t="shared" si="6"/>
        <v>1.2727272727272727</v>
      </c>
      <c r="S45" s="20">
        <v>28</v>
      </c>
      <c r="T45" s="35">
        <f t="shared" si="7"/>
        <v>1.3333333333333333</v>
      </c>
      <c r="U45" s="20">
        <v>28</v>
      </c>
      <c r="V45" s="35">
        <f t="shared" si="8"/>
        <v>1.3333333333333333</v>
      </c>
      <c r="W45" s="20">
        <v>28</v>
      </c>
      <c r="X45" s="35">
        <f t="shared" si="9"/>
        <v>1.3043478260869565</v>
      </c>
      <c r="Y45" s="20">
        <v>30</v>
      </c>
      <c r="Z45" s="35">
        <f t="shared" si="10"/>
        <v>1</v>
      </c>
      <c r="AA45" s="20">
        <v>12</v>
      </c>
      <c r="AB45" s="35">
        <f t="shared" si="11"/>
        <v>1</v>
      </c>
      <c r="AC45" s="20">
        <v>21</v>
      </c>
      <c r="AD45" s="35">
        <f t="shared" si="12"/>
        <v>0.94736842105263153</v>
      </c>
      <c r="AE45" s="20">
        <v>18</v>
      </c>
      <c r="AF45" s="34">
        <f t="shared" si="13"/>
        <v>0.88235294117647056</v>
      </c>
      <c r="AG45" s="20">
        <v>15</v>
      </c>
      <c r="AH45" s="33">
        <f t="shared" si="14"/>
        <v>0.94736842105263153</v>
      </c>
      <c r="AI45" s="20">
        <v>18</v>
      </c>
      <c r="AJ45" s="32">
        <f t="shared" si="15"/>
        <v>0.8571428571428571</v>
      </c>
      <c r="AK45" s="20">
        <v>18</v>
      </c>
      <c r="AL45" s="28">
        <v>0.86956521739130432</v>
      </c>
      <c r="AM45" s="20">
        <v>20</v>
      </c>
      <c r="AN45" s="31">
        <f t="shared" si="16"/>
        <v>0.85</v>
      </c>
      <c r="AO45" s="20">
        <v>17</v>
      </c>
      <c r="AP45" s="29">
        <f t="shared" si="17"/>
        <v>0.86956521739130432</v>
      </c>
      <c r="AQ45" s="20">
        <v>20</v>
      </c>
      <c r="AR45" s="15">
        <f t="shared" si="18"/>
        <v>0.85</v>
      </c>
      <c r="AS45" s="20">
        <v>17</v>
      </c>
      <c r="AT45" s="15">
        <f t="shared" si="19"/>
        <v>0.76190476190476186</v>
      </c>
      <c r="AU45" s="20">
        <v>16</v>
      </c>
      <c r="AV45" s="20">
        <v>17</v>
      </c>
      <c r="AW45" s="15">
        <f t="shared" si="20"/>
        <v>0.73913043478260865</v>
      </c>
      <c r="AX45" s="20">
        <v>15</v>
      </c>
      <c r="AY45" s="20">
        <f t="shared" si="21"/>
        <v>1.1538461538461537</v>
      </c>
      <c r="AZ45" s="8">
        <v>15</v>
      </c>
      <c r="BA45" s="8">
        <f t="shared" si="22"/>
        <v>0.68181818181818177</v>
      </c>
      <c r="BB45" s="4"/>
    </row>
    <row r="46" spans="1:54" x14ac:dyDescent="0.25">
      <c r="A46" s="6">
        <f t="shared" si="0"/>
        <v>53561.25</v>
      </c>
      <c r="B46" s="9">
        <v>465.75</v>
      </c>
      <c r="C46" s="20">
        <v>115</v>
      </c>
      <c r="D46" s="28">
        <f t="shared" si="1"/>
        <v>5.2272727272727275</v>
      </c>
      <c r="E46" s="9" t="s">
        <v>15</v>
      </c>
      <c r="F46" s="9" t="s">
        <v>83</v>
      </c>
      <c r="I46" s="20"/>
      <c r="J46" s="35">
        <f t="shared" si="2"/>
        <v>5.7142857142857144</v>
      </c>
      <c r="K46" s="20">
        <v>80</v>
      </c>
      <c r="L46" s="35">
        <f t="shared" si="3"/>
        <v>5.2380952380952381</v>
      </c>
      <c r="M46" s="20">
        <v>110</v>
      </c>
      <c r="N46" s="35">
        <f t="shared" si="4"/>
        <v>5.2173913043478262</v>
      </c>
      <c r="O46" s="20">
        <v>120</v>
      </c>
      <c r="P46" s="35">
        <f t="shared" si="5"/>
        <v>5.4761904761904763</v>
      </c>
      <c r="Q46" s="20">
        <v>115</v>
      </c>
      <c r="R46" s="35">
        <f t="shared" si="6"/>
        <v>5.2272727272727275</v>
      </c>
      <c r="S46" s="20">
        <v>115</v>
      </c>
      <c r="T46" s="35">
        <f t="shared" si="7"/>
        <v>5.4761904761904763</v>
      </c>
      <c r="U46" s="20">
        <v>115</v>
      </c>
      <c r="V46" s="35">
        <f t="shared" si="8"/>
        <v>5.4761904761904763</v>
      </c>
      <c r="W46" s="20">
        <v>115</v>
      </c>
      <c r="X46" s="35">
        <f t="shared" si="9"/>
        <v>5.5217391304347823</v>
      </c>
      <c r="Y46" s="20">
        <v>127</v>
      </c>
      <c r="Z46" s="35">
        <f t="shared" si="10"/>
        <v>5</v>
      </c>
      <c r="AA46" s="20">
        <v>60</v>
      </c>
      <c r="AB46" s="35">
        <f t="shared" si="11"/>
        <v>5.0952380952380949</v>
      </c>
      <c r="AC46" s="20">
        <v>107</v>
      </c>
      <c r="AD46" s="35">
        <f t="shared" si="12"/>
        <v>5</v>
      </c>
      <c r="AE46" s="20">
        <v>95</v>
      </c>
      <c r="AF46" s="34">
        <f t="shared" si="13"/>
        <v>4.7647058823529411</v>
      </c>
      <c r="AG46" s="20">
        <v>81</v>
      </c>
      <c r="AH46" s="33">
        <f t="shared" si="14"/>
        <v>4.4736842105263159</v>
      </c>
      <c r="AI46" s="20">
        <v>85</v>
      </c>
      <c r="AJ46" s="32">
        <f t="shared" si="15"/>
        <v>4.0476190476190474</v>
      </c>
      <c r="AK46" s="20">
        <v>85</v>
      </c>
      <c r="AL46" s="28">
        <v>3.8260869565217392</v>
      </c>
      <c r="AM46" s="20">
        <v>88</v>
      </c>
      <c r="AN46" s="31">
        <f t="shared" si="16"/>
        <v>4.05</v>
      </c>
      <c r="AO46" s="20">
        <v>81</v>
      </c>
      <c r="AP46" s="29">
        <f t="shared" si="17"/>
        <v>3.8260869565217392</v>
      </c>
      <c r="AQ46" s="20">
        <v>88</v>
      </c>
      <c r="AR46" s="15">
        <f t="shared" si="18"/>
        <v>3.85</v>
      </c>
      <c r="AS46" s="20">
        <v>77</v>
      </c>
      <c r="AT46" s="15">
        <f t="shared" si="19"/>
        <v>3.8095238095238093</v>
      </c>
      <c r="AU46" s="20">
        <v>80</v>
      </c>
      <c r="AV46" s="20">
        <v>85</v>
      </c>
      <c r="AW46" s="15">
        <f t="shared" si="20"/>
        <v>3.6956521739130435</v>
      </c>
      <c r="AX46" s="20">
        <v>60</v>
      </c>
      <c r="AY46" s="20">
        <f t="shared" si="21"/>
        <v>4.615384615384615</v>
      </c>
      <c r="AZ46" s="8">
        <v>80</v>
      </c>
      <c r="BA46" s="8">
        <f t="shared" si="22"/>
        <v>3.6363636363636362</v>
      </c>
      <c r="BB46" s="4"/>
    </row>
    <row r="47" spans="1:54" x14ac:dyDescent="0.25">
      <c r="A47" s="6">
        <f t="shared" si="0"/>
        <v>1630.2</v>
      </c>
      <c r="B47" s="9">
        <v>108.68</v>
      </c>
      <c r="C47" s="20">
        <v>15</v>
      </c>
      <c r="D47" s="28">
        <f t="shared" si="1"/>
        <v>0.68181818181818177</v>
      </c>
      <c r="E47" s="9" t="s">
        <v>15</v>
      </c>
      <c r="F47" s="9" t="s">
        <v>84</v>
      </c>
      <c r="I47" s="20"/>
      <c r="J47" s="35">
        <f t="shared" si="2"/>
        <v>0</v>
      </c>
      <c r="K47" s="20"/>
      <c r="L47" s="35">
        <f t="shared" si="3"/>
        <v>0.66666666666666663</v>
      </c>
      <c r="M47" s="20">
        <v>14</v>
      </c>
      <c r="N47" s="35">
        <f t="shared" si="4"/>
        <v>0.65217391304347827</v>
      </c>
      <c r="O47" s="20">
        <v>15</v>
      </c>
      <c r="P47" s="35">
        <f t="shared" si="5"/>
        <v>0.66666666666666663</v>
      </c>
      <c r="Q47" s="20">
        <v>14</v>
      </c>
      <c r="R47" s="35">
        <f t="shared" si="6"/>
        <v>0.63636363636363635</v>
      </c>
      <c r="S47" s="20">
        <v>14</v>
      </c>
      <c r="T47" s="35">
        <f t="shared" si="7"/>
        <v>0.66666666666666663</v>
      </c>
      <c r="U47" s="20">
        <v>14</v>
      </c>
      <c r="V47" s="35">
        <f t="shared" si="8"/>
        <v>0.66666666666666663</v>
      </c>
      <c r="W47" s="20">
        <v>14</v>
      </c>
      <c r="X47" s="35">
        <f t="shared" si="9"/>
        <v>0.69565217391304346</v>
      </c>
      <c r="Y47" s="20">
        <v>16</v>
      </c>
      <c r="Z47" s="35">
        <f t="shared" si="10"/>
        <v>0.75</v>
      </c>
      <c r="AA47" s="20">
        <v>9</v>
      </c>
      <c r="AB47" s="35">
        <f t="shared" si="11"/>
        <v>0.66666666666666663</v>
      </c>
      <c r="AC47" s="20">
        <v>14</v>
      </c>
      <c r="AD47" s="35">
        <f t="shared" si="12"/>
        <v>0.73684210526315785</v>
      </c>
      <c r="AE47" s="20">
        <v>14</v>
      </c>
      <c r="AF47" s="34">
        <f t="shared" si="13"/>
        <v>0.88235294117647056</v>
      </c>
      <c r="AG47" s="20">
        <v>15</v>
      </c>
      <c r="AH47" s="33">
        <f t="shared" si="14"/>
        <v>0.73684210526315785</v>
      </c>
      <c r="AI47" s="20">
        <v>14</v>
      </c>
      <c r="AJ47" s="32">
        <f t="shared" si="15"/>
        <v>0.7142857142857143</v>
      </c>
      <c r="AK47" s="20">
        <v>15</v>
      </c>
      <c r="AL47" s="28">
        <v>0.52173913043478259</v>
      </c>
      <c r="AM47" s="20">
        <v>12</v>
      </c>
      <c r="AN47" s="31">
        <f t="shared" si="16"/>
        <v>0.55000000000000004</v>
      </c>
      <c r="AO47" s="20">
        <v>11</v>
      </c>
      <c r="AP47" s="29">
        <f t="shared" si="17"/>
        <v>0.52173913043478259</v>
      </c>
      <c r="AQ47" s="20">
        <v>12</v>
      </c>
      <c r="AR47" s="15">
        <f t="shared" si="18"/>
        <v>0.55000000000000004</v>
      </c>
      <c r="AS47" s="20">
        <v>11</v>
      </c>
      <c r="AT47" s="15">
        <f t="shared" si="19"/>
        <v>0.52380952380952384</v>
      </c>
      <c r="AU47" s="20">
        <v>11</v>
      </c>
      <c r="AV47" s="20">
        <v>12</v>
      </c>
      <c r="AW47" s="15">
        <f t="shared" si="20"/>
        <v>0.52173913043478259</v>
      </c>
      <c r="AX47" s="20">
        <v>10</v>
      </c>
      <c r="AY47" s="20">
        <f t="shared" si="21"/>
        <v>0.76923076923076927</v>
      </c>
      <c r="AZ47" s="8">
        <v>10</v>
      </c>
      <c r="BA47" s="8">
        <f t="shared" si="22"/>
        <v>0.45454545454545453</v>
      </c>
      <c r="BB47" s="4"/>
    </row>
    <row r="48" spans="1:54" x14ac:dyDescent="0.25">
      <c r="A48" s="6">
        <f t="shared" si="0"/>
        <v>21888.899999999998</v>
      </c>
      <c r="B48" s="9">
        <v>163.35</v>
      </c>
      <c r="C48" s="20">
        <v>134</v>
      </c>
      <c r="D48" s="28">
        <f t="shared" si="1"/>
        <v>6.0909090909090908</v>
      </c>
      <c r="E48" s="9" t="s">
        <v>15</v>
      </c>
      <c r="F48" s="9" t="s">
        <v>22</v>
      </c>
      <c r="I48" s="20"/>
      <c r="J48" s="35">
        <f t="shared" si="2"/>
        <v>6.3571428571428568</v>
      </c>
      <c r="K48" s="20">
        <v>89</v>
      </c>
      <c r="L48" s="35">
        <f t="shared" si="3"/>
        <v>6.0952380952380949</v>
      </c>
      <c r="M48" s="20">
        <v>128</v>
      </c>
      <c r="N48" s="35">
        <f t="shared" si="4"/>
        <v>5.6521739130434785</v>
      </c>
      <c r="O48" s="20">
        <v>130</v>
      </c>
      <c r="P48" s="35">
        <f t="shared" si="5"/>
        <v>6.0952380952380949</v>
      </c>
      <c r="Q48" s="20">
        <v>128</v>
      </c>
      <c r="R48" s="35">
        <f t="shared" si="6"/>
        <v>5.8181818181818183</v>
      </c>
      <c r="S48" s="20">
        <v>128</v>
      </c>
      <c r="T48" s="35">
        <f t="shared" si="7"/>
        <v>6.0952380952380949</v>
      </c>
      <c r="U48" s="20">
        <v>128</v>
      </c>
      <c r="V48" s="35">
        <f t="shared" si="8"/>
        <v>6.0952380952380949</v>
      </c>
      <c r="W48" s="20">
        <v>128</v>
      </c>
      <c r="X48" s="35">
        <f t="shared" si="9"/>
        <v>6.0869565217391308</v>
      </c>
      <c r="Y48" s="20">
        <v>140</v>
      </c>
      <c r="Z48" s="35">
        <f t="shared" si="10"/>
        <v>6</v>
      </c>
      <c r="AA48" s="20">
        <v>72</v>
      </c>
      <c r="AB48" s="35">
        <f t="shared" si="11"/>
        <v>6.1904761904761907</v>
      </c>
      <c r="AC48" s="20">
        <v>130</v>
      </c>
      <c r="AD48" s="35">
        <f t="shared" si="12"/>
        <v>6.0526315789473681</v>
      </c>
      <c r="AE48" s="20">
        <v>115</v>
      </c>
      <c r="AF48" s="34">
        <f t="shared" si="13"/>
        <v>0.58823529411764708</v>
      </c>
      <c r="AG48" s="20">
        <v>10</v>
      </c>
      <c r="AH48" s="33">
        <f t="shared" si="14"/>
        <v>6.0526315789473681</v>
      </c>
      <c r="AI48" s="20">
        <v>115</v>
      </c>
      <c r="AJ48" s="32">
        <f t="shared" si="15"/>
        <v>6.0952380952380949</v>
      </c>
      <c r="AK48" s="20">
        <v>128</v>
      </c>
      <c r="AL48" s="28">
        <v>6.0869565217391308</v>
      </c>
      <c r="AM48" s="20">
        <v>140</v>
      </c>
      <c r="AN48" s="31">
        <f t="shared" si="16"/>
        <v>6.75</v>
      </c>
      <c r="AO48" s="20">
        <v>135</v>
      </c>
      <c r="AP48" s="29">
        <f t="shared" si="17"/>
        <v>6.0869565217391308</v>
      </c>
      <c r="AQ48" s="20">
        <v>140</v>
      </c>
      <c r="AR48" s="15">
        <f t="shared" si="18"/>
        <v>4.5</v>
      </c>
      <c r="AS48" s="20">
        <v>90</v>
      </c>
      <c r="AT48" s="15">
        <f t="shared" si="19"/>
        <v>2.8095238095238093</v>
      </c>
      <c r="AU48" s="20">
        <v>59</v>
      </c>
      <c r="AV48" s="20">
        <v>65</v>
      </c>
      <c r="AW48" s="15">
        <f t="shared" si="20"/>
        <v>2.8260869565217392</v>
      </c>
      <c r="AX48" s="20">
        <v>45</v>
      </c>
      <c r="AY48" s="20">
        <f t="shared" si="21"/>
        <v>3.4615384615384617</v>
      </c>
      <c r="AZ48" s="8">
        <v>65</v>
      </c>
      <c r="BA48" s="8">
        <f t="shared" si="22"/>
        <v>2.9545454545454546</v>
      </c>
      <c r="BB48" s="4"/>
    </row>
    <row r="49" spans="1:54" x14ac:dyDescent="0.25">
      <c r="A49" s="6">
        <f t="shared" si="0"/>
        <v>5148</v>
      </c>
      <c r="B49" s="9">
        <v>9</v>
      </c>
      <c r="C49" s="20">
        <v>572</v>
      </c>
      <c r="D49" s="28">
        <f t="shared" si="1"/>
        <v>26</v>
      </c>
      <c r="E49" s="9" t="s">
        <v>15</v>
      </c>
      <c r="F49" s="9" t="s">
        <v>85</v>
      </c>
      <c r="I49" s="20"/>
      <c r="J49" s="35">
        <f t="shared" si="2"/>
        <v>26.071428571428573</v>
      </c>
      <c r="K49" s="20">
        <v>365</v>
      </c>
      <c r="L49" s="35">
        <f t="shared" si="3"/>
        <v>26</v>
      </c>
      <c r="M49" s="20">
        <v>546</v>
      </c>
      <c r="N49" s="35">
        <f t="shared" si="4"/>
        <v>26.086956521739129</v>
      </c>
      <c r="O49" s="20">
        <v>600</v>
      </c>
      <c r="P49" s="35">
        <f t="shared" si="5"/>
        <v>20</v>
      </c>
      <c r="Q49" s="20">
        <v>420</v>
      </c>
      <c r="R49" s="35">
        <f t="shared" si="6"/>
        <v>19.09090909090909</v>
      </c>
      <c r="S49" s="20">
        <v>420</v>
      </c>
      <c r="T49" s="35">
        <f t="shared" si="7"/>
        <v>20</v>
      </c>
      <c r="U49" s="20">
        <v>420</v>
      </c>
      <c r="V49" s="35">
        <f t="shared" si="8"/>
        <v>21.428571428571427</v>
      </c>
      <c r="W49" s="20">
        <v>450</v>
      </c>
      <c r="X49" s="35">
        <f t="shared" si="9"/>
        <v>20</v>
      </c>
      <c r="Y49" s="20">
        <v>460</v>
      </c>
      <c r="Z49" s="35">
        <f t="shared" si="10"/>
        <v>18</v>
      </c>
      <c r="AA49" s="20">
        <v>216</v>
      </c>
      <c r="AB49" s="35">
        <f t="shared" si="11"/>
        <v>18.095238095238095</v>
      </c>
      <c r="AC49" s="20">
        <v>380</v>
      </c>
      <c r="AD49" s="35">
        <f t="shared" si="12"/>
        <v>18.05263157894737</v>
      </c>
      <c r="AE49" s="20">
        <v>343</v>
      </c>
      <c r="AF49" s="34">
        <f t="shared" si="13"/>
        <v>0.58823529411764708</v>
      </c>
      <c r="AG49" s="20">
        <v>10</v>
      </c>
      <c r="AH49" s="33">
        <f t="shared" si="14"/>
        <v>18.05263157894737</v>
      </c>
      <c r="AI49" s="20">
        <v>343</v>
      </c>
      <c r="AJ49" s="32">
        <f t="shared" si="15"/>
        <v>18.095238095238095</v>
      </c>
      <c r="AK49" s="20">
        <v>380</v>
      </c>
      <c r="AL49" s="28">
        <v>18.043478260869566</v>
      </c>
      <c r="AM49" s="20">
        <v>415</v>
      </c>
      <c r="AN49" s="31">
        <f t="shared" si="16"/>
        <v>18.25</v>
      </c>
      <c r="AO49" s="20">
        <v>365</v>
      </c>
      <c r="AP49" s="29">
        <f t="shared" si="17"/>
        <v>18.043478260869566</v>
      </c>
      <c r="AQ49" s="20">
        <v>415</v>
      </c>
      <c r="AR49" s="15">
        <f t="shared" si="18"/>
        <v>18</v>
      </c>
      <c r="AS49" s="20">
        <v>360</v>
      </c>
      <c r="AT49" s="15">
        <f t="shared" si="19"/>
        <v>18.095238095238095</v>
      </c>
      <c r="AU49" s="20">
        <v>380</v>
      </c>
      <c r="AV49" s="20">
        <v>480</v>
      </c>
      <c r="AW49" s="15">
        <f t="shared" si="20"/>
        <v>20.869565217391305</v>
      </c>
      <c r="AX49" s="20">
        <v>360</v>
      </c>
      <c r="AY49" s="20">
        <f t="shared" si="21"/>
        <v>27.692307692307693</v>
      </c>
      <c r="AZ49" s="8">
        <v>480</v>
      </c>
      <c r="BA49" s="8">
        <f t="shared" si="22"/>
        <v>21.818181818181817</v>
      </c>
      <c r="BB49" s="4"/>
    </row>
    <row r="50" spans="1:54" x14ac:dyDescent="0.25">
      <c r="A50" s="6">
        <f t="shared" si="0"/>
        <v>0</v>
      </c>
      <c r="B50" s="12"/>
      <c r="C50" s="22"/>
      <c r="D50" s="13"/>
      <c r="E50" s="40" t="s">
        <v>86</v>
      </c>
      <c r="F50" s="40"/>
      <c r="I50" s="22"/>
      <c r="AQ50" s="1"/>
      <c r="AR50" s="1"/>
      <c r="AS50" s="1"/>
      <c r="AT50" s="1"/>
      <c r="AU50" s="1"/>
      <c r="AV50" s="1"/>
      <c r="AW50" s="1"/>
      <c r="AX50" s="1"/>
      <c r="AY50" s="1"/>
      <c r="AZ50" s="43"/>
      <c r="BA50" s="42"/>
      <c r="BB50" s="44"/>
    </row>
    <row r="51" spans="1:54" x14ac:dyDescent="0.25">
      <c r="A51" s="6">
        <f t="shared" si="0"/>
        <v>27.599999999999998</v>
      </c>
      <c r="B51" s="9">
        <v>1.1499999999999999</v>
      </c>
      <c r="C51" s="20">
        <v>24</v>
      </c>
      <c r="D51" s="8"/>
      <c r="E51" s="9" t="s">
        <v>17</v>
      </c>
      <c r="F51" s="9" t="s">
        <v>87</v>
      </c>
      <c r="I51" s="20">
        <v>5</v>
      </c>
      <c r="K51" s="20">
        <v>24</v>
      </c>
      <c r="AG51" s="20">
        <v>5</v>
      </c>
      <c r="AI51" s="20">
        <v>24</v>
      </c>
      <c r="AQ51" s="1"/>
      <c r="AR51" s="1"/>
      <c r="AS51" s="1"/>
      <c r="AT51" s="1"/>
      <c r="AU51" s="1"/>
      <c r="AV51" s="1"/>
      <c r="AW51" s="1"/>
      <c r="AX51" s="1"/>
      <c r="AY51" s="1"/>
      <c r="AZ51" s="5"/>
      <c r="BA51" s="5"/>
      <c r="BB51" s="5"/>
    </row>
    <row r="52" spans="1:54" x14ac:dyDescent="0.25">
      <c r="A52" s="6">
        <f t="shared" si="0"/>
        <v>27.599999999999998</v>
      </c>
      <c r="B52" s="9">
        <v>1.1499999999999999</v>
      </c>
      <c r="C52" s="20">
        <v>24</v>
      </c>
      <c r="D52" s="8"/>
      <c r="E52" s="9" t="s">
        <v>17</v>
      </c>
      <c r="F52" s="9" t="s">
        <v>88</v>
      </c>
      <c r="I52" s="20">
        <v>5</v>
      </c>
      <c r="K52" s="20">
        <v>24</v>
      </c>
      <c r="AG52" s="20">
        <v>5</v>
      </c>
      <c r="AI52" s="20">
        <v>24</v>
      </c>
      <c r="AQ52" s="1"/>
      <c r="AR52" s="1"/>
      <c r="AS52" s="1"/>
      <c r="AT52" s="1"/>
      <c r="AU52" s="1"/>
      <c r="AV52" s="1"/>
      <c r="AW52" s="1"/>
      <c r="AX52" s="1"/>
      <c r="AY52" s="1"/>
      <c r="AZ52" s="5"/>
      <c r="BA52" s="5"/>
      <c r="BB52" s="5"/>
    </row>
    <row r="53" spans="1:54" x14ac:dyDescent="0.25">
      <c r="A53" s="6">
        <f t="shared" si="0"/>
        <v>27.599999999999998</v>
      </c>
      <c r="B53" s="9">
        <v>1.1499999999999999</v>
      </c>
      <c r="C53" s="20">
        <v>24</v>
      </c>
      <c r="D53" s="8"/>
      <c r="E53" s="9" t="s">
        <v>17</v>
      </c>
      <c r="F53" s="9" t="s">
        <v>89</v>
      </c>
      <c r="I53" s="20">
        <v>5</v>
      </c>
      <c r="K53" s="20">
        <v>24</v>
      </c>
      <c r="AG53" s="20">
        <v>5</v>
      </c>
      <c r="AI53" s="20">
        <v>24</v>
      </c>
      <c r="AQ53" s="1"/>
      <c r="AR53" s="1"/>
      <c r="AS53" s="1"/>
      <c r="AT53" s="1"/>
      <c r="AU53" s="1"/>
      <c r="AV53" s="1"/>
      <c r="AW53" s="1"/>
      <c r="AX53" s="1"/>
      <c r="AY53" s="1"/>
      <c r="AZ53" s="5"/>
      <c r="BA53" s="5"/>
      <c r="BB53" s="5"/>
    </row>
    <row r="54" spans="1:54" x14ac:dyDescent="0.25">
      <c r="A54" s="6">
        <f t="shared" si="0"/>
        <v>28.749999999999996</v>
      </c>
      <c r="B54" s="9">
        <v>1.1499999999999999</v>
      </c>
      <c r="C54" s="20">
        <v>25</v>
      </c>
      <c r="D54" s="8"/>
      <c r="E54" s="9" t="s">
        <v>17</v>
      </c>
      <c r="F54" s="9" t="s">
        <v>23</v>
      </c>
      <c r="I54" s="20">
        <v>5</v>
      </c>
      <c r="K54" s="20">
        <v>25</v>
      </c>
      <c r="AG54" s="20">
        <v>5</v>
      </c>
      <c r="AI54" s="20">
        <v>25</v>
      </c>
      <c r="AQ54" s="1"/>
      <c r="AR54" s="1"/>
      <c r="AS54" s="1"/>
      <c r="AT54" s="1"/>
      <c r="AU54" s="1"/>
      <c r="AV54" s="1"/>
      <c r="AW54" s="1"/>
      <c r="AX54" s="1"/>
      <c r="AY54" s="1"/>
      <c r="AZ54" s="5"/>
      <c r="BA54" s="5"/>
      <c r="BB54" s="5"/>
    </row>
    <row r="55" spans="1:54" x14ac:dyDescent="0.25">
      <c r="A55" s="6">
        <f t="shared" si="0"/>
        <v>27.599999999999998</v>
      </c>
      <c r="B55" s="9">
        <v>1.1499999999999999</v>
      </c>
      <c r="C55" s="20">
        <v>24</v>
      </c>
      <c r="D55" s="8"/>
      <c r="E55" s="9" t="s">
        <v>17</v>
      </c>
      <c r="F55" s="9" t="s">
        <v>24</v>
      </c>
      <c r="I55" s="20">
        <v>5</v>
      </c>
      <c r="K55" s="20">
        <v>24</v>
      </c>
      <c r="AG55" s="20">
        <v>5</v>
      </c>
      <c r="AI55" s="20">
        <v>24</v>
      </c>
      <c r="AQ55" s="1"/>
      <c r="AR55" s="1"/>
      <c r="AS55" s="1"/>
      <c r="AT55" s="1"/>
      <c r="AU55" s="1"/>
      <c r="AV55" s="1"/>
      <c r="AW55" s="1"/>
      <c r="AX55" s="1"/>
      <c r="AY55" s="1"/>
      <c r="AZ55" s="5"/>
      <c r="BA55" s="5"/>
      <c r="BB55" s="5"/>
    </row>
    <row r="56" spans="1:54" x14ac:dyDescent="0.25">
      <c r="A56" s="6">
        <f t="shared" si="0"/>
        <v>27.599999999999998</v>
      </c>
      <c r="B56" s="9">
        <v>1.1499999999999999</v>
      </c>
      <c r="C56" s="20">
        <v>24</v>
      </c>
      <c r="D56" s="8"/>
      <c r="E56" s="9" t="s">
        <v>17</v>
      </c>
      <c r="F56" s="9" t="s">
        <v>25</v>
      </c>
      <c r="I56" s="20">
        <v>5</v>
      </c>
      <c r="K56" s="20">
        <v>24</v>
      </c>
      <c r="AG56" s="20">
        <v>5</v>
      </c>
      <c r="AI56" s="20">
        <v>24</v>
      </c>
      <c r="AQ56" s="1"/>
      <c r="AR56" s="1"/>
      <c r="AS56" s="1"/>
      <c r="AT56" s="1"/>
      <c r="AU56" s="1"/>
      <c r="AV56" s="1"/>
      <c r="AW56" s="1"/>
      <c r="AX56" s="1"/>
      <c r="AY56" s="1"/>
      <c r="AZ56" s="5"/>
      <c r="BA56" s="5"/>
      <c r="BB56" s="5"/>
    </row>
    <row r="57" spans="1:54" x14ac:dyDescent="0.25">
      <c r="A57" s="6">
        <f t="shared" si="0"/>
        <v>3.4499999999999997</v>
      </c>
      <c r="B57" s="9">
        <v>1.1499999999999999</v>
      </c>
      <c r="C57" s="20">
        <v>3</v>
      </c>
      <c r="D57" s="8"/>
      <c r="E57" s="9" t="s">
        <v>17</v>
      </c>
      <c r="F57" s="9" t="s">
        <v>90</v>
      </c>
      <c r="I57" s="20">
        <v>3</v>
      </c>
      <c r="K57" s="20">
        <v>3</v>
      </c>
      <c r="AG57" s="20">
        <v>5</v>
      </c>
      <c r="AI57" s="20">
        <v>3</v>
      </c>
      <c r="AQ57" s="1"/>
      <c r="AR57" s="1"/>
      <c r="AS57" s="1"/>
      <c r="AT57" s="1"/>
      <c r="AU57" s="1"/>
      <c r="AV57" s="1"/>
      <c r="AW57" s="1"/>
      <c r="AX57" s="1"/>
      <c r="AY57" s="1"/>
      <c r="AZ57" s="5"/>
      <c r="BA57" s="5"/>
      <c r="BB57" s="5"/>
    </row>
    <row r="58" spans="1:54" x14ac:dyDescent="0.25">
      <c r="A58" s="6">
        <f t="shared" si="0"/>
        <v>27.599999999999998</v>
      </c>
      <c r="B58" s="9">
        <v>1.1499999999999999</v>
      </c>
      <c r="C58" s="20">
        <v>24</v>
      </c>
      <c r="D58" s="8"/>
      <c r="E58" s="9" t="s">
        <v>17</v>
      </c>
      <c r="F58" s="9" t="s">
        <v>26</v>
      </c>
      <c r="I58" s="20">
        <v>5</v>
      </c>
      <c r="K58" s="20">
        <v>24</v>
      </c>
      <c r="AG58" s="20">
        <v>5</v>
      </c>
      <c r="AI58" s="20">
        <v>24</v>
      </c>
      <c r="AQ58" s="1"/>
      <c r="AR58" s="1"/>
      <c r="AS58" s="1"/>
      <c r="AT58" s="1"/>
      <c r="AU58" s="1"/>
      <c r="AV58" s="1"/>
      <c r="AW58" s="1"/>
      <c r="AX58" s="1"/>
      <c r="AY58" s="1"/>
      <c r="AZ58" s="5"/>
      <c r="BA58" s="5"/>
      <c r="BB58" s="5"/>
    </row>
    <row r="59" spans="1:54" x14ac:dyDescent="0.25">
      <c r="A59" s="6">
        <f t="shared" si="0"/>
        <v>27.599999999999998</v>
      </c>
      <c r="B59" s="9">
        <v>1.1499999999999999</v>
      </c>
      <c r="C59" s="20">
        <v>24</v>
      </c>
      <c r="D59" s="8"/>
      <c r="E59" s="9" t="s">
        <v>17</v>
      </c>
      <c r="F59" s="9" t="s">
        <v>91</v>
      </c>
      <c r="I59" s="20">
        <v>5</v>
      </c>
      <c r="K59" s="20">
        <v>24</v>
      </c>
      <c r="AG59" s="20">
        <v>5</v>
      </c>
      <c r="AI59" s="20">
        <v>24</v>
      </c>
      <c r="AQ59" s="1"/>
      <c r="AR59" s="1"/>
      <c r="AS59" s="1"/>
      <c r="AT59" s="1"/>
      <c r="AU59" s="1"/>
      <c r="AV59" s="1"/>
      <c r="AW59" s="1"/>
      <c r="AX59" s="1"/>
      <c r="AY59" s="1"/>
      <c r="AZ59" s="5"/>
      <c r="BA59" s="5"/>
      <c r="BB59" s="5"/>
    </row>
    <row r="60" spans="1:54" x14ac:dyDescent="0.25">
      <c r="A60" s="6">
        <f t="shared" si="0"/>
        <v>26.45</v>
      </c>
      <c r="B60" s="9">
        <v>1.1499999999999999</v>
      </c>
      <c r="C60" s="20">
        <v>23</v>
      </c>
      <c r="D60" s="8"/>
      <c r="E60" s="9" t="s">
        <v>17</v>
      </c>
      <c r="F60" s="9" t="s">
        <v>27</v>
      </c>
      <c r="I60" s="20">
        <v>5</v>
      </c>
      <c r="K60" s="20">
        <v>23</v>
      </c>
      <c r="AG60" s="20">
        <v>5</v>
      </c>
      <c r="AI60" s="20">
        <v>23</v>
      </c>
      <c r="AQ60" s="1"/>
      <c r="AR60" s="1"/>
      <c r="AS60" s="1"/>
      <c r="AT60" s="1"/>
      <c r="AU60" s="1"/>
      <c r="AV60" s="1"/>
      <c r="AW60" s="1"/>
      <c r="AX60" s="1"/>
      <c r="AY60" s="1"/>
      <c r="AZ60" s="5"/>
      <c r="BA60" s="5"/>
      <c r="BB60" s="5"/>
    </row>
    <row r="61" spans="1:54" x14ac:dyDescent="0.25">
      <c r="A61" s="6">
        <f t="shared" si="0"/>
        <v>57.499999999999993</v>
      </c>
      <c r="B61" s="9">
        <v>1.1499999999999999</v>
      </c>
      <c r="C61" s="20">
        <v>50</v>
      </c>
      <c r="D61" s="8"/>
      <c r="E61" s="9" t="s">
        <v>17</v>
      </c>
      <c r="F61" s="9" t="s">
        <v>92</v>
      </c>
      <c r="I61" s="20">
        <v>10</v>
      </c>
      <c r="K61" s="20">
        <v>50</v>
      </c>
      <c r="AG61" s="20">
        <v>10</v>
      </c>
      <c r="AI61" s="20">
        <v>50</v>
      </c>
      <c r="AQ61" s="1"/>
      <c r="AR61" s="1"/>
      <c r="AS61" s="1"/>
      <c r="AT61" s="1"/>
      <c r="AU61" s="1"/>
      <c r="AV61" s="1"/>
      <c r="AW61" s="1"/>
      <c r="AX61" s="1"/>
      <c r="AY61" s="1"/>
      <c r="AZ61" s="5"/>
      <c r="BA61" s="5"/>
      <c r="BB61" s="5"/>
    </row>
    <row r="62" spans="1:54" x14ac:dyDescent="0.25">
      <c r="A62" s="6">
        <f t="shared" si="0"/>
        <v>27.599999999999998</v>
      </c>
      <c r="B62" s="9">
        <v>1.1499999999999999</v>
      </c>
      <c r="C62" s="20">
        <v>24</v>
      </c>
      <c r="D62" s="8"/>
      <c r="E62" s="9" t="s">
        <v>17</v>
      </c>
      <c r="F62" s="9" t="s">
        <v>93</v>
      </c>
      <c r="I62" s="20">
        <v>5</v>
      </c>
      <c r="K62" s="20">
        <v>24</v>
      </c>
      <c r="AG62" s="20">
        <v>5</v>
      </c>
      <c r="AI62" s="20">
        <v>24</v>
      </c>
      <c r="AQ62" s="1"/>
      <c r="AR62" s="1"/>
      <c r="AS62" s="1"/>
      <c r="AT62" s="1"/>
      <c r="AU62" s="1"/>
      <c r="AV62" s="1"/>
      <c r="AW62" s="1"/>
      <c r="AX62" s="1"/>
      <c r="AY62" s="1"/>
      <c r="AZ62" s="5"/>
      <c r="BA62" s="5"/>
      <c r="BB62" s="5"/>
    </row>
    <row r="63" spans="1:54" x14ac:dyDescent="0.25">
      <c r="A63" s="6">
        <f t="shared" si="0"/>
        <v>27.599999999999998</v>
      </c>
      <c r="B63" s="9">
        <v>1.1499999999999999</v>
      </c>
      <c r="C63" s="20">
        <v>24</v>
      </c>
      <c r="D63" s="8"/>
      <c r="E63" s="9" t="s">
        <v>17</v>
      </c>
      <c r="F63" s="9" t="s">
        <v>28</v>
      </c>
      <c r="I63" s="20">
        <v>5</v>
      </c>
      <c r="K63" s="20">
        <v>24</v>
      </c>
      <c r="AG63" s="20">
        <v>5</v>
      </c>
      <c r="AI63" s="20">
        <v>24</v>
      </c>
      <c r="AQ63" s="1"/>
      <c r="AR63" s="1"/>
      <c r="AS63" s="1"/>
      <c r="AT63" s="1"/>
      <c r="AU63" s="1"/>
      <c r="AV63" s="1"/>
      <c r="AW63" s="1"/>
      <c r="AX63" s="1"/>
      <c r="AY63" s="1"/>
      <c r="AZ63" s="5"/>
      <c r="BA63" s="5"/>
      <c r="BB63" s="5"/>
    </row>
    <row r="64" spans="1:54" x14ac:dyDescent="0.25">
      <c r="A64" s="6">
        <f t="shared" si="0"/>
        <v>27.599999999999998</v>
      </c>
      <c r="B64" s="9">
        <v>1.1499999999999999</v>
      </c>
      <c r="C64" s="20">
        <v>24</v>
      </c>
      <c r="D64" s="8"/>
      <c r="E64" s="9" t="s">
        <v>17</v>
      </c>
      <c r="F64" s="9" t="s">
        <v>29</v>
      </c>
      <c r="I64" s="20">
        <v>5</v>
      </c>
      <c r="K64" s="20">
        <v>24</v>
      </c>
      <c r="AG64" s="20">
        <v>5</v>
      </c>
      <c r="AI64" s="20">
        <v>24</v>
      </c>
      <c r="AQ64" s="1"/>
      <c r="AR64" s="1"/>
      <c r="AS64" s="1"/>
      <c r="AT64" s="1"/>
      <c r="AU64" s="1"/>
      <c r="AV64" s="1"/>
      <c r="AW64" s="1"/>
      <c r="AX64" s="1"/>
      <c r="AY64" s="1"/>
      <c r="AZ64" s="5"/>
      <c r="BA64" s="5"/>
      <c r="BB64" s="5"/>
    </row>
    <row r="65" spans="1:54" x14ac:dyDescent="0.25">
      <c r="A65" s="6">
        <f t="shared" si="0"/>
        <v>28.749999999999996</v>
      </c>
      <c r="B65" s="9">
        <v>1.1499999999999999</v>
      </c>
      <c r="C65" s="20">
        <v>25</v>
      </c>
      <c r="D65" s="8"/>
      <c r="E65" s="9" t="s">
        <v>17</v>
      </c>
      <c r="F65" s="9" t="s">
        <v>94</v>
      </c>
      <c r="I65" s="20">
        <v>5</v>
      </c>
      <c r="K65" s="20">
        <v>25</v>
      </c>
      <c r="AG65" s="20">
        <v>5</v>
      </c>
      <c r="AI65" s="20">
        <v>25</v>
      </c>
      <c r="AQ65" s="1"/>
      <c r="AR65" s="1"/>
      <c r="AS65" s="1"/>
      <c r="AT65" s="1"/>
      <c r="AU65" s="1"/>
      <c r="AV65" s="1"/>
      <c r="AW65" s="1"/>
      <c r="AX65" s="1"/>
      <c r="AY65" s="1"/>
      <c r="AZ65" s="5"/>
      <c r="BA65" s="5"/>
      <c r="BB65" s="5"/>
    </row>
    <row r="66" spans="1:54" x14ac:dyDescent="0.25">
      <c r="A66" s="6">
        <f t="shared" si="0"/>
        <v>26.45</v>
      </c>
      <c r="B66" s="9">
        <v>1.1499999999999999</v>
      </c>
      <c r="C66" s="20">
        <v>23</v>
      </c>
      <c r="D66" s="8"/>
      <c r="E66" s="9" t="s">
        <v>17</v>
      </c>
      <c r="F66" s="9" t="s">
        <v>30</v>
      </c>
      <c r="I66" s="20">
        <v>5</v>
      </c>
      <c r="K66" s="20">
        <v>23</v>
      </c>
      <c r="AG66" s="20">
        <v>5</v>
      </c>
      <c r="AI66" s="20">
        <v>23</v>
      </c>
      <c r="AQ66" s="1"/>
      <c r="AR66" s="1"/>
      <c r="AS66" s="1"/>
      <c r="AT66" s="1"/>
      <c r="AU66" s="1"/>
      <c r="AV66" s="1"/>
      <c r="AW66" s="1"/>
      <c r="AX66" s="1"/>
      <c r="AY66" s="1"/>
      <c r="AZ66" s="5"/>
      <c r="BA66" s="5"/>
      <c r="BB66" s="5"/>
    </row>
    <row r="67" spans="1:54" x14ac:dyDescent="0.25">
      <c r="A67" s="6">
        <f t="shared" ref="A67:A75" si="23">C67*B67</f>
        <v>28.749999999999996</v>
      </c>
      <c r="B67" s="9">
        <v>1.1499999999999999</v>
      </c>
      <c r="C67" s="20">
        <v>25</v>
      </c>
      <c r="D67" s="8"/>
      <c r="E67" s="9" t="s">
        <v>17</v>
      </c>
      <c r="F67" s="9" t="s">
        <v>95</v>
      </c>
      <c r="I67" s="20">
        <v>5</v>
      </c>
      <c r="K67" s="20">
        <v>25</v>
      </c>
      <c r="AG67" s="20">
        <v>5</v>
      </c>
      <c r="AI67" s="20">
        <v>25</v>
      </c>
      <c r="AQ67" s="1"/>
      <c r="AR67" s="1"/>
      <c r="AS67" s="1"/>
      <c r="AT67" s="1"/>
      <c r="AU67" s="1"/>
      <c r="AV67" s="1"/>
      <c r="AW67" s="1"/>
      <c r="AX67" s="1"/>
      <c r="AY67" s="1"/>
      <c r="AZ67" s="5"/>
      <c r="BA67" s="5"/>
      <c r="BB67" s="5"/>
    </row>
    <row r="68" spans="1:54" ht="15.75" x14ac:dyDescent="0.25">
      <c r="A68" s="6">
        <f t="shared" si="23"/>
        <v>0</v>
      </c>
      <c r="B68" s="45"/>
      <c r="C68" s="45"/>
      <c r="D68" s="45"/>
      <c r="E68" s="40" t="s">
        <v>96</v>
      </c>
      <c r="F68" s="40"/>
      <c r="AQ68" s="1"/>
      <c r="AR68" s="1"/>
      <c r="AS68" s="1"/>
      <c r="AT68" s="1"/>
      <c r="AU68" s="1"/>
      <c r="AV68" s="1"/>
      <c r="AW68" s="1"/>
      <c r="AX68" s="1"/>
      <c r="AY68" s="1"/>
      <c r="AZ68" s="43"/>
      <c r="BA68" s="42"/>
      <c r="BB68" s="44"/>
    </row>
    <row r="69" spans="1:54" x14ac:dyDescent="0.25">
      <c r="A69" s="6">
        <f t="shared" si="23"/>
        <v>0</v>
      </c>
      <c r="B69" s="9">
        <v>230</v>
      </c>
      <c r="C69" s="20">
        <v>0</v>
      </c>
      <c r="D69" s="8"/>
      <c r="E69" s="9" t="s">
        <v>31</v>
      </c>
      <c r="F69" s="9" t="s">
        <v>97</v>
      </c>
      <c r="AQ69" s="1"/>
      <c r="AR69" s="1"/>
      <c r="AS69" s="1"/>
      <c r="AT69" s="1"/>
      <c r="AU69" s="1"/>
      <c r="AV69" s="1"/>
      <c r="AW69" s="1"/>
      <c r="AX69" s="1"/>
      <c r="AY69" s="1"/>
      <c r="AZ69" s="5"/>
      <c r="BA69" s="5"/>
      <c r="BB69" s="5"/>
    </row>
    <row r="70" spans="1:54" x14ac:dyDescent="0.25">
      <c r="A70" s="6">
        <f t="shared" si="23"/>
        <v>0</v>
      </c>
      <c r="B70" s="9">
        <v>115</v>
      </c>
      <c r="C70" s="20">
        <v>0</v>
      </c>
      <c r="D70" s="8"/>
      <c r="E70" s="9" t="s">
        <v>31</v>
      </c>
      <c r="F70" s="9" t="s">
        <v>32</v>
      </c>
      <c r="AQ70" s="1"/>
      <c r="AR70" s="1"/>
      <c r="AS70" s="1"/>
      <c r="AT70" s="1"/>
      <c r="AU70" s="1"/>
      <c r="AV70" s="1"/>
      <c r="AW70" s="1"/>
      <c r="AX70" s="1"/>
      <c r="AY70" s="1"/>
      <c r="AZ70" s="5"/>
      <c r="BA70" s="5"/>
      <c r="BB70" s="5"/>
    </row>
    <row r="71" spans="1:54" x14ac:dyDescent="0.25">
      <c r="A71" s="6">
        <f t="shared" si="23"/>
        <v>34212.5</v>
      </c>
      <c r="B71" s="9">
        <v>97.75</v>
      </c>
      <c r="C71" s="20">
        <v>350</v>
      </c>
      <c r="D71" s="8"/>
      <c r="E71" s="9" t="s">
        <v>31</v>
      </c>
      <c r="F71" s="9" t="s">
        <v>33</v>
      </c>
      <c r="AQ71" s="1"/>
      <c r="AR71" s="1"/>
      <c r="AS71" s="1"/>
      <c r="AT71" s="1"/>
      <c r="AU71" s="1"/>
      <c r="AV71" s="1"/>
      <c r="AW71" s="1"/>
      <c r="AX71" s="1"/>
      <c r="AY71" s="1"/>
      <c r="AZ71" s="5"/>
      <c r="BA71" s="5"/>
      <c r="BB71" s="5"/>
    </row>
    <row r="72" spans="1:54" ht="15.75" x14ac:dyDescent="0.25">
      <c r="A72" s="6">
        <f t="shared" si="23"/>
        <v>0</v>
      </c>
      <c r="B72" s="46"/>
      <c r="C72" s="46"/>
      <c r="D72" s="46"/>
      <c r="E72" s="40" t="s">
        <v>98</v>
      </c>
      <c r="F72" s="40"/>
      <c r="AZ72" s="43"/>
      <c r="BA72" s="42"/>
      <c r="BB72" s="44"/>
    </row>
    <row r="73" spans="1:54" x14ac:dyDescent="0.25">
      <c r="A73" s="6">
        <f t="shared" si="23"/>
        <v>307500</v>
      </c>
      <c r="B73" s="6">
        <v>6150</v>
      </c>
      <c r="C73" s="20">
        <v>50</v>
      </c>
      <c r="D73" s="8"/>
      <c r="E73" s="9" t="s">
        <v>34</v>
      </c>
      <c r="F73" s="9" t="s">
        <v>99</v>
      </c>
      <c r="G73" s="24"/>
      <c r="H73" s="24"/>
      <c r="I73" s="20">
        <v>16</v>
      </c>
      <c r="J73" s="24"/>
      <c r="K73" s="20">
        <v>50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G73" s="20">
        <v>9</v>
      </c>
      <c r="AZ73" s="5"/>
      <c r="BA73" s="5"/>
      <c r="BB73" s="5"/>
    </row>
    <row r="74" spans="1:54" x14ac:dyDescent="0.25">
      <c r="A74" s="6">
        <f t="shared" si="23"/>
        <v>20000</v>
      </c>
      <c r="B74" s="6">
        <v>5000</v>
      </c>
      <c r="C74" s="20">
        <v>4</v>
      </c>
      <c r="D74" s="8"/>
      <c r="E74" s="9" t="s">
        <v>34</v>
      </c>
      <c r="F74" s="9" t="s">
        <v>100</v>
      </c>
      <c r="I74" s="20">
        <v>2</v>
      </c>
      <c r="K74" s="20">
        <v>4</v>
      </c>
      <c r="AA74" s="24"/>
      <c r="AG74" s="20">
        <v>2</v>
      </c>
      <c r="AZ74" s="5"/>
      <c r="BA74" s="5"/>
      <c r="BB74" s="5"/>
    </row>
    <row r="75" spans="1:54" x14ac:dyDescent="0.25">
      <c r="A75" s="6">
        <f t="shared" si="23"/>
        <v>17400</v>
      </c>
      <c r="B75" s="6">
        <v>5800</v>
      </c>
      <c r="C75" s="20">
        <v>3</v>
      </c>
      <c r="D75" s="8"/>
      <c r="E75" s="9" t="s">
        <v>34</v>
      </c>
      <c r="F75" s="9" t="s">
        <v>101</v>
      </c>
      <c r="I75" s="20"/>
      <c r="K75" s="20">
        <v>3</v>
      </c>
      <c r="AA75" s="24"/>
      <c r="AG75" s="20">
        <v>0</v>
      </c>
      <c r="AZ75" s="5"/>
      <c r="BA75" s="5"/>
      <c r="BB75" s="5"/>
    </row>
    <row r="76" spans="1:54" ht="15.75" x14ac:dyDescent="0.25">
      <c r="A76" s="17">
        <f>SUM(A2:A75)</f>
        <v>2459407.3800000008</v>
      </c>
      <c r="B76" s="40" t="s">
        <v>102</v>
      </c>
      <c r="C76" s="40"/>
      <c r="D76" s="40"/>
      <c r="E76" s="40"/>
      <c r="F76" s="40"/>
      <c r="AZ76" s="42"/>
      <c r="BA76" s="42"/>
      <c r="BB76" s="42"/>
    </row>
    <row r="78" spans="1:54" x14ac:dyDescent="0.25">
      <c r="A78" s="24"/>
    </row>
    <row r="79" spans="1:54" x14ac:dyDescent="0.25">
      <c r="C79" s="39" t="s">
        <v>115</v>
      </c>
      <c r="D79" s="39"/>
      <c r="E79" t="s">
        <v>113</v>
      </c>
    </row>
    <row r="80" spans="1:54" x14ac:dyDescent="0.25">
      <c r="C80" s="39" t="s">
        <v>112</v>
      </c>
      <c r="D80" s="39"/>
      <c r="E80" t="s">
        <v>111</v>
      </c>
    </row>
  </sheetData>
  <mergeCells count="13">
    <mergeCell ref="C80:D80"/>
    <mergeCell ref="C79:D79"/>
    <mergeCell ref="B76:F76"/>
    <mergeCell ref="BC1:BE1"/>
    <mergeCell ref="AZ76:BB76"/>
    <mergeCell ref="AZ72:BB72"/>
    <mergeCell ref="AZ68:BB68"/>
    <mergeCell ref="AZ50:BB50"/>
    <mergeCell ref="E50:F50"/>
    <mergeCell ref="E68:F68"/>
    <mergeCell ref="E72:F72"/>
    <mergeCell ref="B68:D68"/>
    <mergeCell ref="B72:D72"/>
  </mergeCells>
  <pageMargins left="0.7" right="0.7" top="0.75" bottom="0.75" header="0.3" footer="0.3"/>
  <pageSetup paperSize="9" orientation="portrait" r:id="rId1"/>
  <headerFooter>
    <oddFooter>&amp;C_x000D_&amp;1#&amp;"Calibri"&amp;10&amp;K0000FF Restricted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Oraini, Mansour S</dc:creator>
  <cp:lastModifiedBy>Ruways, Abdulrahman A</cp:lastModifiedBy>
  <dcterms:created xsi:type="dcterms:W3CDTF">2023-07-24T06:40:34Z</dcterms:created>
  <dcterms:modified xsi:type="dcterms:W3CDTF">2026-03-12T09:53:51Z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662555-8342-48a1-91df-60b8ada0890e_Enabled">
    <vt:lpwstr>true</vt:lpwstr>
  </property>
  <property fmtid="{D5CDD505-2E9C-101B-9397-08002B2CF9AE}" pid="3" name="MSIP_Label_3c662555-8342-48a1-91df-60b8ada0890e_SetDate">
    <vt:lpwstr>2024-12-29T12:46:03Z</vt:lpwstr>
  </property>
  <property fmtid="{D5CDD505-2E9C-101B-9397-08002B2CF9AE}" pid="4" name="MSIP_Label_3c662555-8342-48a1-91df-60b8ada0890e_Method">
    <vt:lpwstr>Standard</vt:lpwstr>
  </property>
  <property fmtid="{D5CDD505-2E9C-101B-9397-08002B2CF9AE}" pid="5" name="MSIP_Label_3c662555-8342-48a1-91df-60b8ada0890e_Name">
    <vt:lpwstr>مقيد - Restricted</vt:lpwstr>
  </property>
  <property fmtid="{D5CDD505-2E9C-101B-9397-08002B2CF9AE}" pid="6" name="MSIP_Label_3c662555-8342-48a1-91df-60b8ada0890e_SiteId">
    <vt:lpwstr>cee277c8-9ceb-4b05-95ef-59d45630412c</vt:lpwstr>
  </property>
  <property fmtid="{D5CDD505-2E9C-101B-9397-08002B2CF9AE}" pid="7" name="MSIP_Label_3c662555-8342-48a1-91df-60b8ada0890e_ActionId">
    <vt:lpwstr>7aa0e213-1d90-40e4-8021-a24895f11ef4</vt:lpwstr>
  </property>
  <property fmtid="{D5CDD505-2E9C-101B-9397-08002B2CF9AE}" pid="8" name="MSIP_Label_3c662555-8342-48a1-91df-60b8ada0890e_ContentBits">
    <vt:lpwstr>2</vt:lpwstr>
  </property>
</Properties>
</file>