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876ea2fdb8c9448/Desktop/MOE 2026/MOE DAILY 2026/"/>
    </mc:Choice>
  </mc:AlternateContent>
  <xr:revisionPtr revIDLastSave="771" documentId="13_ncr:1_{7F6F3BAE-5C22-4FA9-9DD9-AA7029C7A426}" xr6:coauthVersionLast="47" xr6:coauthVersionMax="47" xr10:uidLastSave="{B5C8C716-4626-4C36-B21D-4DAF6A873822}"/>
  <bookViews>
    <workbookView xWindow="-108" yWindow="-108" windowWidth="23256" windowHeight="12456" firstSheet="3" activeTab="4" xr2:uid="{56D2C125-D6A7-470D-9850-ADA43CAEAEAD}"/>
  </bookViews>
  <sheets>
    <sheet name="JANUARY." sheetId="16" r:id="rId1"/>
    <sheet name="FEBRUARY " sheetId="17" r:id="rId2"/>
    <sheet name="MARCH " sheetId="18" r:id="rId3"/>
    <sheet name="APRIL" sheetId="19" r:id="rId4"/>
    <sheet name="MAY" sheetId="2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0" l="1"/>
  <c r="E18" i="20" l="1"/>
  <c r="E19" i="20"/>
  <c r="F25" i="19"/>
  <c r="F19" i="19"/>
  <c r="F41" i="20"/>
  <c r="F40" i="20"/>
  <c r="F39" i="20"/>
  <c r="F38" i="20"/>
  <c r="F37" i="20"/>
  <c r="F36" i="20"/>
  <c r="E36" i="20" s="1"/>
  <c r="F35" i="20"/>
  <c r="E35" i="20" s="1"/>
  <c r="F34" i="20"/>
  <c r="E34" i="20" s="1"/>
  <c r="F33" i="20"/>
  <c r="E33" i="20" s="1"/>
  <c r="F32" i="20"/>
  <c r="E32" i="20" s="1"/>
  <c r="F31" i="20"/>
  <c r="E31" i="20" s="1"/>
  <c r="F30" i="20"/>
  <c r="E30" i="20" s="1"/>
  <c r="F29" i="20"/>
  <c r="E29" i="20" s="1"/>
  <c r="F28" i="20"/>
  <c r="F24" i="20"/>
  <c r="F23" i="20"/>
  <c r="F22" i="20"/>
  <c r="F21" i="20"/>
  <c r="F19" i="20"/>
  <c r="F17" i="20"/>
  <c r="AM17" i="20" s="1"/>
  <c r="F16" i="20"/>
  <c r="AM16" i="20" s="1"/>
  <c r="F15" i="20"/>
  <c r="AM15" i="20" s="1"/>
  <c r="F14" i="20"/>
  <c r="AM14" i="20" s="1"/>
  <c r="F13" i="20"/>
  <c r="AM13" i="20" s="1"/>
  <c r="F12" i="20"/>
  <c r="E12" i="20" s="1"/>
  <c r="F11" i="20"/>
  <c r="E11" i="20" s="1"/>
  <c r="F10" i="20"/>
  <c r="AM10" i="20" s="1"/>
  <c r="F9" i="20"/>
  <c r="AM9" i="20" s="1"/>
  <c r="F8" i="20"/>
  <c r="AM8" i="20" s="1"/>
  <c r="F7" i="20"/>
  <c r="AM7" i="20" s="1"/>
  <c r="F6" i="20"/>
  <c r="AM6" i="20" s="1"/>
  <c r="F5" i="20"/>
  <c r="AM5" i="20" s="1"/>
  <c r="E5" i="20"/>
  <c r="F4" i="20"/>
  <c r="AM4" i="20" s="1"/>
  <c r="F3" i="20"/>
  <c r="AM3" i="20" s="1"/>
  <c r="F41" i="19"/>
  <c r="F40" i="19"/>
  <c r="F39" i="19"/>
  <c r="F38" i="19"/>
  <c r="F37" i="19"/>
  <c r="F36" i="19"/>
  <c r="E36" i="19" s="1"/>
  <c r="F35" i="19"/>
  <c r="E35" i="19" s="1"/>
  <c r="F34" i="19"/>
  <c r="E34" i="19" s="1"/>
  <c r="F33" i="19"/>
  <c r="E33" i="19" s="1"/>
  <c r="F32" i="19"/>
  <c r="E32" i="19" s="1"/>
  <c r="F31" i="19"/>
  <c r="E31" i="19" s="1"/>
  <c r="F30" i="19"/>
  <c r="E30" i="19" s="1"/>
  <c r="F29" i="19"/>
  <c r="E29" i="19" s="1"/>
  <c r="F28" i="19"/>
  <c r="F24" i="19"/>
  <c r="F23" i="19"/>
  <c r="F22" i="19"/>
  <c r="F21" i="19"/>
  <c r="F18" i="19"/>
  <c r="F17" i="19"/>
  <c r="AM17" i="19" s="1"/>
  <c r="F16" i="19"/>
  <c r="AM16" i="19" s="1"/>
  <c r="F15" i="19"/>
  <c r="E15" i="19" s="1"/>
  <c r="F14" i="19"/>
  <c r="AM14" i="19" s="1"/>
  <c r="F13" i="19"/>
  <c r="AM13" i="19" s="1"/>
  <c r="F12" i="19"/>
  <c r="AM12" i="19" s="1"/>
  <c r="F11" i="19"/>
  <c r="AM11" i="19" s="1"/>
  <c r="F10" i="19"/>
  <c r="AM10" i="19" s="1"/>
  <c r="F9" i="19"/>
  <c r="AM9" i="19" s="1"/>
  <c r="F8" i="19"/>
  <c r="AM8" i="19" s="1"/>
  <c r="F7" i="19"/>
  <c r="AM7" i="19" s="1"/>
  <c r="F6" i="19"/>
  <c r="AM6" i="19" s="1"/>
  <c r="F5" i="19"/>
  <c r="AM5" i="19" s="1"/>
  <c r="F4" i="19"/>
  <c r="E4" i="19" s="1"/>
  <c r="F3" i="19"/>
  <c r="AM3" i="19" s="1"/>
  <c r="F40" i="18"/>
  <c r="F39" i="18"/>
  <c r="F38" i="18"/>
  <c r="F37" i="18"/>
  <c r="F36" i="18"/>
  <c r="F35" i="18"/>
  <c r="E35" i="18"/>
  <c r="F34" i="18"/>
  <c r="E34" i="18" s="1"/>
  <c r="F33" i="18"/>
  <c r="E33" i="18" s="1"/>
  <c r="F32" i="18"/>
  <c r="E32" i="18" s="1"/>
  <c r="F31" i="18"/>
  <c r="E31" i="18" s="1"/>
  <c r="F30" i="18"/>
  <c r="E30" i="18" s="1"/>
  <c r="F29" i="18"/>
  <c r="E29" i="18" s="1"/>
  <c r="F28" i="18"/>
  <c r="E28" i="18"/>
  <c r="F27" i="18"/>
  <c r="F23" i="18"/>
  <c r="F22" i="18"/>
  <c r="F21" i="18"/>
  <c r="F20" i="18"/>
  <c r="F18" i="18"/>
  <c r="F17" i="18"/>
  <c r="E17" i="18" s="1"/>
  <c r="F16" i="18"/>
  <c r="E16" i="18" s="1"/>
  <c r="F15" i="18"/>
  <c r="AM15" i="18" s="1"/>
  <c r="F14" i="18"/>
  <c r="AM14" i="18" s="1"/>
  <c r="F13" i="18"/>
  <c r="E13" i="18" s="1"/>
  <c r="F12" i="18"/>
  <c r="AM12" i="18" s="1"/>
  <c r="F11" i="18"/>
  <c r="AM11" i="18" s="1"/>
  <c r="F10" i="18"/>
  <c r="AM10" i="18" s="1"/>
  <c r="F9" i="18"/>
  <c r="AM9" i="18" s="1"/>
  <c r="F8" i="18"/>
  <c r="AM8" i="18" s="1"/>
  <c r="F7" i="18"/>
  <c r="AM7" i="18" s="1"/>
  <c r="F6" i="18"/>
  <c r="AM6" i="18" s="1"/>
  <c r="F5" i="18"/>
  <c r="AM5" i="18" s="1"/>
  <c r="F4" i="18"/>
  <c r="AM4" i="18" s="1"/>
  <c r="F3" i="18"/>
  <c r="AM3" i="18" s="1"/>
  <c r="F40" i="17"/>
  <c r="F39" i="17"/>
  <c r="F38" i="17"/>
  <c r="F37" i="17"/>
  <c r="F36" i="17"/>
  <c r="F35" i="17"/>
  <c r="E35" i="17" s="1"/>
  <c r="F34" i="17"/>
  <c r="E34" i="17" s="1"/>
  <c r="F33" i="17"/>
  <c r="E33" i="17" s="1"/>
  <c r="F32" i="17"/>
  <c r="E32" i="17" s="1"/>
  <c r="F31" i="17"/>
  <c r="E31" i="17" s="1"/>
  <c r="F30" i="17"/>
  <c r="E30" i="17" s="1"/>
  <c r="F29" i="17"/>
  <c r="E29" i="17"/>
  <c r="F28" i="17"/>
  <c r="E28" i="17" s="1"/>
  <c r="F27" i="17"/>
  <c r="F23" i="17"/>
  <c r="F22" i="17"/>
  <c r="F21" i="17"/>
  <c r="F20" i="17"/>
  <c r="F18" i="17"/>
  <c r="F17" i="17"/>
  <c r="AM17" i="17" s="1"/>
  <c r="F16" i="17"/>
  <c r="AM16" i="17" s="1"/>
  <c r="F15" i="17"/>
  <c r="AM15" i="17" s="1"/>
  <c r="F14" i="17"/>
  <c r="AM14" i="17" s="1"/>
  <c r="F13" i="17"/>
  <c r="AM13" i="17" s="1"/>
  <c r="F12" i="17"/>
  <c r="AM12" i="17" s="1"/>
  <c r="F11" i="17"/>
  <c r="AM11" i="17" s="1"/>
  <c r="F10" i="17"/>
  <c r="AM10" i="17" s="1"/>
  <c r="F9" i="17"/>
  <c r="AM9" i="17" s="1"/>
  <c r="F8" i="17"/>
  <c r="AM8" i="17" s="1"/>
  <c r="F7" i="17"/>
  <c r="AM7" i="17" s="1"/>
  <c r="F6" i="17"/>
  <c r="AM6" i="17" s="1"/>
  <c r="F5" i="17"/>
  <c r="AM5" i="17" s="1"/>
  <c r="F4" i="17"/>
  <c r="AM4" i="17" s="1"/>
  <c r="F3" i="17"/>
  <c r="AM3" i="17" s="1"/>
  <c r="F18" i="16"/>
  <c r="F20" i="16"/>
  <c r="F21" i="16"/>
  <c r="F22" i="16"/>
  <c r="F23" i="16"/>
  <c r="F27" i="16"/>
  <c r="F28" i="16"/>
  <c r="E28" i="16"/>
  <c r="F40" i="16"/>
  <c r="F39" i="16"/>
  <c r="F38" i="16"/>
  <c r="F37" i="16"/>
  <c r="F36" i="16"/>
  <c r="F35" i="16"/>
  <c r="E35" i="16"/>
  <c r="F34" i="16"/>
  <c r="E34" i="16" s="1"/>
  <c r="F33" i="16"/>
  <c r="E33" i="16" s="1"/>
  <c r="F32" i="16"/>
  <c r="E32" i="16" s="1"/>
  <c r="F31" i="16"/>
  <c r="E31" i="16" s="1"/>
  <c r="F30" i="16"/>
  <c r="E30" i="16" s="1"/>
  <c r="F29" i="16"/>
  <c r="E29" i="16" s="1"/>
  <c r="F17" i="16"/>
  <c r="E17" i="16" s="1"/>
  <c r="F16" i="16"/>
  <c r="E16" i="16" s="1"/>
  <c r="F15" i="16"/>
  <c r="AM15" i="16" s="1"/>
  <c r="F14" i="16"/>
  <c r="E14" i="16" s="1"/>
  <c r="F13" i="16"/>
  <c r="E13" i="16" s="1"/>
  <c r="F12" i="16"/>
  <c r="AM12" i="16" s="1"/>
  <c r="F11" i="16"/>
  <c r="E11" i="16" s="1"/>
  <c r="F10" i="16"/>
  <c r="E10" i="16" s="1"/>
  <c r="F9" i="16"/>
  <c r="AM9" i="16" s="1"/>
  <c r="F8" i="16"/>
  <c r="AM8" i="16" s="1"/>
  <c r="F7" i="16"/>
  <c r="AM7" i="16" s="1"/>
  <c r="F6" i="16"/>
  <c r="AM6" i="16" s="1"/>
  <c r="F5" i="16"/>
  <c r="E5" i="16" s="1"/>
  <c r="F4" i="16"/>
  <c r="E4" i="16" s="1"/>
  <c r="F3" i="16"/>
  <c r="AM3" i="16" s="1"/>
  <c r="E13" i="20" l="1"/>
  <c r="E17" i="20"/>
  <c r="E16" i="20"/>
  <c r="E10" i="20"/>
  <c r="E9" i="20"/>
  <c r="E8" i="20"/>
  <c r="E6" i="20"/>
  <c r="AM11" i="20"/>
  <c r="E7" i="20"/>
  <c r="E15" i="20"/>
  <c r="E4" i="20"/>
  <c r="E3" i="20"/>
  <c r="E14" i="20"/>
  <c r="AM12" i="20"/>
  <c r="E3" i="19"/>
  <c r="E16" i="19"/>
  <c r="E17" i="19"/>
  <c r="E8" i="19"/>
  <c r="E14" i="19"/>
  <c r="E13" i="19"/>
  <c r="E12" i="19"/>
  <c r="E11" i="19"/>
  <c r="E7" i="19"/>
  <c r="E6" i="19"/>
  <c r="E7" i="18"/>
  <c r="E5" i="19"/>
  <c r="E10" i="19"/>
  <c r="AM4" i="19"/>
  <c r="AM15" i="19"/>
  <c r="E11" i="18"/>
  <c r="E8" i="18"/>
  <c r="E3" i="18"/>
  <c r="E15" i="18"/>
  <c r="E4" i="18"/>
  <c r="E6" i="18"/>
  <c r="E10" i="18"/>
  <c r="E5" i="18"/>
  <c r="AM17" i="18"/>
  <c r="E14" i="18"/>
  <c r="AM16" i="18"/>
  <c r="AM13" i="18"/>
  <c r="E12" i="18"/>
  <c r="E11" i="17"/>
  <c r="E4" i="17"/>
  <c r="E6" i="17"/>
  <c r="E15" i="17"/>
  <c r="E7" i="17"/>
  <c r="E3" i="17"/>
  <c r="E5" i="17"/>
  <c r="E10" i="17"/>
  <c r="E16" i="17"/>
  <c r="E8" i="17"/>
  <c r="AM27" i="17"/>
  <c r="E14" i="17"/>
  <c r="E17" i="17"/>
  <c r="E12" i="17"/>
  <c r="E13" i="17"/>
  <c r="AM11" i="16"/>
  <c r="AM16" i="16"/>
  <c r="AM13" i="16"/>
  <c r="E12" i="16"/>
  <c r="AM4" i="16"/>
  <c r="E3" i="16"/>
  <c r="AM5" i="16"/>
  <c r="AM10" i="16"/>
  <c r="AM17" i="16"/>
  <c r="E15" i="16"/>
  <c r="AM14" i="16"/>
  <c r="E8" i="16"/>
  <c r="E7" i="16"/>
  <c r="E6" i="16"/>
  <c r="AM28" i="20" l="1"/>
  <c r="AM28" i="19"/>
  <c r="AM27" i="18"/>
  <c r="AM27" i="16"/>
</calcChain>
</file>

<file path=xl/sharedStrings.xml><?xml version="1.0" encoding="utf-8"?>
<sst xmlns="http://schemas.openxmlformats.org/spreadsheetml/2006/main" count="379" uniqueCount="60">
  <si>
    <t>ITEM NO.</t>
  </si>
  <si>
    <t>LIMIT</t>
  </si>
  <si>
    <t>KARKADEH</t>
  </si>
  <si>
    <t>ICE TEA</t>
  </si>
  <si>
    <t>MINT</t>
  </si>
  <si>
    <t>HABAK</t>
  </si>
  <si>
    <t>MONTH</t>
  </si>
  <si>
    <t>KILO</t>
  </si>
  <si>
    <t>1 LITTER</t>
  </si>
  <si>
    <t>REMAINING QUANTITY</t>
  </si>
  <si>
    <t>TOTAL</t>
  </si>
  <si>
    <t xml:space="preserve">UNIT </t>
  </si>
  <si>
    <t xml:space="preserve">FOOD'S  </t>
  </si>
  <si>
    <t>BREAK FAST SANDWICHES</t>
  </si>
  <si>
    <t>BREAK FAST MEALS</t>
  </si>
  <si>
    <t>GLUTEEN FREE BREADS</t>
  </si>
  <si>
    <t>LUNCH SANDWICHES</t>
  </si>
  <si>
    <t>LUNCH MEALS</t>
  </si>
  <si>
    <t>SALAD</t>
  </si>
  <si>
    <t>FRESH FRUITS</t>
  </si>
  <si>
    <t>SALTED BAKERY'S</t>
  </si>
  <si>
    <t>YOUGURTS</t>
  </si>
  <si>
    <t>GRANOLA</t>
  </si>
  <si>
    <t>FRESH JUICES</t>
  </si>
  <si>
    <t>RASPBERRY FRUITS</t>
  </si>
  <si>
    <t>STRAWWBERRY FRUITS</t>
  </si>
  <si>
    <t>GREN LIME</t>
  </si>
  <si>
    <t>1 PCS</t>
  </si>
  <si>
    <t>2 PCS</t>
  </si>
  <si>
    <t>3 PCS</t>
  </si>
  <si>
    <t>1 BUNDLE</t>
  </si>
  <si>
    <t>MINISTRY OF ENERGY INVENTORY  MANAGEMENT</t>
  </si>
  <si>
    <t>DATES</t>
  </si>
  <si>
    <t>PCS</t>
  </si>
  <si>
    <t>NUTS/DATES</t>
  </si>
  <si>
    <t>SWEETS CAKES</t>
  </si>
  <si>
    <t>SWEET BAKERY'S</t>
  </si>
  <si>
    <t>CHOCOLATE PASTE</t>
  </si>
  <si>
    <t>CARAMEL KLEJA</t>
  </si>
  <si>
    <t>CARAMEL PUMPKIN</t>
  </si>
  <si>
    <t>CARAMEL CINAMON</t>
  </si>
  <si>
    <t xml:space="preserve">SOUP'S </t>
  </si>
  <si>
    <t>SHALAB DRINKS</t>
  </si>
  <si>
    <t>SIDE STATION</t>
  </si>
  <si>
    <t>WARAENAB/FATTAH</t>
  </si>
  <si>
    <t>SAMOLI</t>
  </si>
  <si>
    <t>PIZZA</t>
  </si>
  <si>
    <t>ZATAR</t>
  </si>
  <si>
    <t>SPONGE CAKES</t>
  </si>
  <si>
    <t>ICE CREAM</t>
  </si>
  <si>
    <t xml:space="preserve">13 FLOOR FRESH JUICES </t>
  </si>
  <si>
    <t>LITTER</t>
  </si>
  <si>
    <t>JANUARY 2026</t>
  </si>
  <si>
    <t>OMALI</t>
  </si>
  <si>
    <t>FEBRUARY 2026</t>
  </si>
  <si>
    <t>MARCH 2026</t>
  </si>
  <si>
    <t>APRIL 2026</t>
  </si>
  <si>
    <t>LITER</t>
  </si>
  <si>
    <t>MAY 2026</t>
  </si>
  <si>
    <t>13 FLOOR CHOCOLATE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</si>
</sst>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6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/>
    <xf numFmtId="0" fontId="1" fillId="10" borderId="5" xfId="0" applyFont="1" applyFill="1" applyBorder="1" applyAlignment="1">
      <alignment horizontal="center" vertical="center"/>
    </xf>
    <xf numFmtId="164" fontId="3" fillId="11" borderId="2" xfId="0" applyNumberFormat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3" fillId="12" borderId="2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7ABB-82B6-4780-A7F2-0DF1C6EDDF1D}">
  <dimension ref="A1:AP40"/>
  <sheetViews>
    <sheetView topLeftCell="B1" zoomScale="50" zoomScaleNormal="50" workbookViewId="0">
      <selection activeCell="AG23" sqref="AG23"/>
    </sheetView>
  </sheetViews>
  <sheetFormatPr defaultRowHeight="14.4" x14ac:dyDescent="0.3"/>
  <cols>
    <col min="1" max="1" width="13.5546875" customWidth="1"/>
    <col min="2" max="2" width="39.21875" customWidth="1"/>
    <col min="3" max="3" width="15.77734375" customWidth="1"/>
    <col min="4" max="4" width="11.44140625" customWidth="1"/>
    <col min="5" max="5" width="17" customWidth="1"/>
    <col min="6" max="6" width="13.5546875" customWidth="1"/>
    <col min="7" max="9" width="8.88671875" customWidth="1"/>
    <col min="38" max="38" width="5" customWidth="1"/>
    <col min="39" max="39" width="25.77734375" customWidth="1"/>
    <col min="42" max="42" width="34.21875" customWidth="1"/>
  </cols>
  <sheetData>
    <row r="1" spans="1:42" ht="32.4" customHeight="1" x14ac:dyDescent="0.3">
      <c r="A1" s="4" t="s">
        <v>6</v>
      </c>
      <c r="B1" s="16" t="s">
        <v>52</v>
      </c>
      <c r="C1" s="50" t="s">
        <v>31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</row>
    <row r="2" spans="1:42" ht="28.8" x14ac:dyDescent="0.3">
      <c r="A2" s="3" t="s">
        <v>0</v>
      </c>
      <c r="B2" s="3" t="s">
        <v>12</v>
      </c>
      <c r="C2" s="24" t="s">
        <v>1</v>
      </c>
      <c r="D2" s="5" t="s">
        <v>11</v>
      </c>
      <c r="E2" s="7" t="s">
        <v>9</v>
      </c>
      <c r="F2" s="11" t="s">
        <v>10</v>
      </c>
      <c r="G2" s="15">
        <v>46023</v>
      </c>
      <c r="H2" s="33">
        <v>46024</v>
      </c>
      <c r="I2" s="33">
        <v>46025</v>
      </c>
      <c r="J2" s="15">
        <v>46026</v>
      </c>
      <c r="K2" s="15">
        <v>46027</v>
      </c>
      <c r="L2" s="15">
        <v>46028</v>
      </c>
      <c r="M2" s="15">
        <v>46029</v>
      </c>
      <c r="N2" s="15">
        <v>46030</v>
      </c>
      <c r="O2" s="33">
        <v>46031</v>
      </c>
      <c r="P2" s="33">
        <v>46032</v>
      </c>
      <c r="Q2" s="15">
        <v>46033</v>
      </c>
      <c r="R2" s="15">
        <v>46034</v>
      </c>
      <c r="S2" s="15">
        <v>46035</v>
      </c>
      <c r="T2" s="15">
        <v>46036</v>
      </c>
      <c r="U2" s="15">
        <v>46037</v>
      </c>
      <c r="V2" s="33">
        <v>46038</v>
      </c>
      <c r="W2" s="33">
        <v>46039</v>
      </c>
      <c r="X2" s="15">
        <v>46040</v>
      </c>
      <c r="Y2" s="15">
        <v>46041</v>
      </c>
      <c r="Z2" s="15">
        <v>46042</v>
      </c>
      <c r="AA2" s="15">
        <v>46043</v>
      </c>
      <c r="AB2" s="15">
        <v>46044</v>
      </c>
      <c r="AC2" s="33">
        <v>46045</v>
      </c>
      <c r="AD2" s="33">
        <v>46046</v>
      </c>
      <c r="AE2" s="15">
        <v>46047</v>
      </c>
      <c r="AF2" s="15">
        <v>46048</v>
      </c>
      <c r="AG2" s="15">
        <v>46049</v>
      </c>
      <c r="AH2" s="15">
        <v>46050</v>
      </c>
      <c r="AI2" s="15">
        <v>46051</v>
      </c>
      <c r="AJ2" s="33">
        <v>46052</v>
      </c>
      <c r="AK2" s="33">
        <v>46053</v>
      </c>
      <c r="AL2" s="15"/>
    </row>
    <row r="3" spans="1:42" ht="19.95" customHeight="1" x14ac:dyDescent="0.3">
      <c r="A3" s="1">
        <v>1</v>
      </c>
      <c r="B3" s="2" t="s">
        <v>13</v>
      </c>
      <c r="C3" s="24">
        <v>19635</v>
      </c>
      <c r="D3" s="6" t="s">
        <v>29</v>
      </c>
      <c r="E3" s="8">
        <f>C3-F3</f>
        <v>3172</v>
      </c>
      <c r="F3" s="12">
        <f>AK3+AJ3+AI3+AH3+AG3+AF3+AE3+AD3+AC3+AB3+AA3+Z3+Y3+X3+W3+V3+U3+T3+S3+R3+Q3+P3+O3+N3+M3+L3+K3+J3+I3+H3+G3</f>
        <v>16463</v>
      </c>
      <c r="G3" s="14">
        <v>1133</v>
      </c>
      <c r="H3" s="34"/>
      <c r="I3" s="34"/>
      <c r="J3" s="14">
        <v>887</v>
      </c>
      <c r="K3" s="22">
        <v>881</v>
      </c>
      <c r="L3" s="22">
        <v>809</v>
      </c>
      <c r="M3" s="14">
        <v>797</v>
      </c>
      <c r="N3" s="14">
        <v>754</v>
      </c>
      <c r="O3" s="34"/>
      <c r="P3" s="34"/>
      <c r="Q3" s="14">
        <v>813</v>
      </c>
      <c r="R3" s="14">
        <v>800</v>
      </c>
      <c r="S3" s="14">
        <v>877</v>
      </c>
      <c r="T3" s="14">
        <v>811</v>
      </c>
      <c r="U3" s="14">
        <v>751</v>
      </c>
      <c r="V3" s="34"/>
      <c r="W3" s="34"/>
      <c r="X3" s="14">
        <v>846</v>
      </c>
      <c r="Y3" s="14">
        <v>796</v>
      </c>
      <c r="Z3" s="14">
        <v>795</v>
      </c>
      <c r="AA3" s="14">
        <v>91</v>
      </c>
      <c r="AB3" s="14">
        <v>745</v>
      </c>
      <c r="AC3" s="34"/>
      <c r="AD3" s="34"/>
      <c r="AE3" s="14">
        <v>750</v>
      </c>
      <c r="AF3" s="14">
        <v>763</v>
      </c>
      <c r="AG3" s="14">
        <v>802</v>
      </c>
      <c r="AH3" s="14">
        <v>808</v>
      </c>
      <c r="AI3" s="14">
        <v>754</v>
      </c>
      <c r="AJ3" s="34"/>
      <c r="AK3" s="34"/>
      <c r="AM3" s="19">
        <f>F3*11.99</f>
        <v>197391.37</v>
      </c>
    </row>
    <row r="4" spans="1:42" ht="19.95" customHeight="1" x14ac:dyDescent="0.3">
      <c r="A4" s="1">
        <v>2</v>
      </c>
      <c r="B4" s="2" t="s">
        <v>16</v>
      </c>
      <c r="C4" s="24">
        <v>11235</v>
      </c>
      <c r="D4" s="6" t="s">
        <v>28</v>
      </c>
      <c r="E4" s="8">
        <f t="shared" ref="E4:E17" si="0">C4-F4</f>
        <v>2288</v>
      </c>
      <c r="F4" s="12">
        <f t="shared" ref="F4:F40" si="1">AK4+AJ4+AI4+AH4+AG4+AF4+AE4+AD4+AC4+AB4+AA4+Z4+Y4+X4+W4+V4+U4+T4+S4+R4+Q4+P4+O4+N4+M4+L4+K4+J4+I4+H4+G4</f>
        <v>8947</v>
      </c>
      <c r="G4" s="14">
        <v>542</v>
      </c>
      <c r="H4" s="34"/>
      <c r="I4" s="34"/>
      <c r="J4" s="14">
        <v>494</v>
      </c>
      <c r="K4" s="22">
        <v>509</v>
      </c>
      <c r="L4" s="22">
        <v>339</v>
      </c>
      <c r="M4" s="14">
        <v>439</v>
      </c>
      <c r="N4" s="14">
        <v>421</v>
      </c>
      <c r="O4" s="34"/>
      <c r="P4" s="34"/>
      <c r="Q4" s="14">
        <v>445</v>
      </c>
      <c r="R4" s="14">
        <v>434</v>
      </c>
      <c r="S4" s="14">
        <v>445</v>
      </c>
      <c r="T4" s="14">
        <v>450</v>
      </c>
      <c r="U4" s="14">
        <v>413</v>
      </c>
      <c r="V4" s="34"/>
      <c r="W4" s="34"/>
      <c r="X4" s="14">
        <v>416</v>
      </c>
      <c r="Y4" s="14">
        <v>478</v>
      </c>
      <c r="Z4" s="14">
        <v>453</v>
      </c>
      <c r="AA4" s="14">
        <v>35</v>
      </c>
      <c r="AB4" s="14">
        <v>420</v>
      </c>
      <c r="AC4" s="34"/>
      <c r="AD4" s="34"/>
      <c r="AE4" s="14">
        <v>420</v>
      </c>
      <c r="AF4" s="14">
        <v>416</v>
      </c>
      <c r="AG4" s="14">
        <v>445</v>
      </c>
      <c r="AH4" s="14">
        <v>508</v>
      </c>
      <c r="AI4" s="14">
        <v>425</v>
      </c>
      <c r="AJ4" s="34"/>
      <c r="AK4" s="34"/>
      <c r="AM4" s="19">
        <f>F4*16.1</f>
        <v>144046.70000000001</v>
      </c>
    </row>
    <row r="5" spans="1:42" ht="19.95" customHeight="1" x14ac:dyDescent="0.3">
      <c r="A5" s="1">
        <v>3</v>
      </c>
      <c r="B5" s="2" t="s">
        <v>15</v>
      </c>
      <c r="C5" s="24">
        <v>2100</v>
      </c>
      <c r="D5" s="6" t="s">
        <v>27</v>
      </c>
      <c r="E5" s="8">
        <f t="shared" si="0"/>
        <v>90</v>
      </c>
      <c r="F5" s="12">
        <f t="shared" si="1"/>
        <v>2010</v>
      </c>
      <c r="G5" s="14">
        <v>58</v>
      </c>
      <c r="H5" s="34"/>
      <c r="I5" s="34"/>
      <c r="J5" s="14">
        <v>100</v>
      </c>
      <c r="K5" s="22">
        <v>99</v>
      </c>
      <c r="L5" s="22">
        <v>91</v>
      </c>
      <c r="M5" s="14">
        <v>98</v>
      </c>
      <c r="N5" s="14">
        <v>99</v>
      </c>
      <c r="O5" s="34"/>
      <c r="P5" s="34"/>
      <c r="Q5" s="14">
        <v>100</v>
      </c>
      <c r="R5" s="14">
        <v>103</v>
      </c>
      <c r="S5" s="14">
        <v>99</v>
      </c>
      <c r="T5" s="14">
        <v>101</v>
      </c>
      <c r="U5" s="14">
        <v>100</v>
      </c>
      <c r="V5" s="34"/>
      <c r="W5" s="34"/>
      <c r="X5" s="14">
        <v>103</v>
      </c>
      <c r="Y5" s="14">
        <v>107</v>
      </c>
      <c r="Z5" s="14">
        <v>100</v>
      </c>
      <c r="AA5" s="14">
        <v>15</v>
      </c>
      <c r="AB5" s="14">
        <v>104</v>
      </c>
      <c r="AC5" s="34"/>
      <c r="AD5" s="34"/>
      <c r="AE5" s="14">
        <v>109</v>
      </c>
      <c r="AF5" s="14">
        <v>102</v>
      </c>
      <c r="AG5" s="14">
        <v>104</v>
      </c>
      <c r="AH5" s="14">
        <v>115</v>
      </c>
      <c r="AI5" s="14">
        <v>103</v>
      </c>
      <c r="AJ5" s="34"/>
      <c r="AK5" s="34"/>
      <c r="AM5" s="19">
        <f>F5*18.4</f>
        <v>36984</v>
      </c>
    </row>
    <row r="6" spans="1:42" ht="19.95" customHeight="1" x14ac:dyDescent="0.3">
      <c r="A6" s="1">
        <v>4</v>
      </c>
      <c r="B6" s="2" t="s">
        <v>14</v>
      </c>
      <c r="C6" s="24">
        <v>3213</v>
      </c>
      <c r="D6" s="6" t="s">
        <v>27</v>
      </c>
      <c r="E6" s="8">
        <f t="shared" si="0"/>
        <v>633</v>
      </c>
      <c r="F6" s="12">
        <f>AK6+AJ6+AN22+AH6+AG6+AF6+AE6+AD6+AC6+AB6+AA6+Z6+Y6+X6+W6+V6+U6+T6+S6+R6+Q6+P6+O6+N6+M6+L6+K6+J6+I6+H6+G6</f>
        <v>2580</v>
      </c>
      <c r="G6" s="14">
        <v>198</v>
      </c>
      <c r="H6" s="34"/>
      <c r="I6" s="34"/>
      <c r="J6" s="14">
        <v>137</v>
      </c>
      <c r="K6" s="22">
        <v>124</v>
      </c>
      <c r="L6" s="22">
        <v>124</v>
      </c>
      <c r="M6" s="14">
        <v>126</v>
      </c>
      <c r="N6" s="14">
        <v>119</v>
      </c>
      <c r="O6" s="34"/>
      <c r="P6" s="34"/>
      <c r="Q6" s="14">
        <v>123</v>
      </c>
      <c r="R6" s="14">
        <v>127</v>
      </c>
      <c r="S6" s="14">
        <v>135</v>
      </c>
      <c r="T6" s="14">
        <v>126</v>
      </c>
      <c r="U6" s="14">
        <v>121</v>
      </c>
      <c r="V6" s="34"/>
      <c r="W6" s="34"/>
      <c r="X6" s="14">
        <v>122</v>
      </c>
      <c r="Y6" s="14">
        <v>129</v>
      </c>
      <c r="Z6" s="14">
        <v>127</v>
      </c>
      <c r="AA6" s="14">
        <v>18</v>
      </c>
      <c r="AB6" s="14">
        <v>111</v>
      </c>
      <c r="AC6" s="34"/>
      <c r="AD6" s="34"/>
      <c r="AE6" s="14">
        <v>122</v>
      </c>
      <c r="AF6" s="14">
        <v>118</v>
      </c>
      <c r="AG6" s="14">
        <v>130</v>
      </c>
      <c r="AH6" s="14">
        <v>128</v>
      </c>
      <c r="AJ6" s="34"/>
      <c r="AK6" s="34"/>
      <c r="AM6" s="19">
        <f>F6*18.4</f>
        <v>47471.999999999993</v>
      </c>
    </row>
    <row r="7" spans="1:42" ht="19.95" customHeight="1" x14ac:dyDescent="0.3">
      <c r="A7" s="1">
        <v>5</v>
      </c>
      <c r="B7" s="2" t="s">
        <v>17</v>
      </c>
      <c r="C7" s="24">
        <v>17157</v>
      </c>
      <c r="D7" s="6" t="s">
        <v>29</v>
      </c>
      <c r="E7" s="8">
        <f t="shared" si="0"/>
        <v>2422</v>
      </c>
      <c r="F7" s="12">
        <f t="shared" si="1"/>
        <v>14735</v>
      </c>
      <c r="G7" s="14">
        <v>829</v>
      </c>
      <c r="H7" s="34"/>
      <c r="I7" s="34"/>
      <c r="J7" s="14">
        <v>793</v>
      </c>
      <c r="K7" s="22">
        <v>779</v>
      </c>
      <c r="L7" s="22">
        <v>704</v>
      </c>
      <c r="M7" s="14">
        <v>741</v>
      </c>
      <c r="N7" s="14">
        <v>701</v>
      </c>
      <c r="O7" s="34"/>
      <c r="P7" s="34"/>
      <c r="Q7" s="14">
        <v>741</v>
      </c>
      <c r="R7" s="14">
        <v>735</v>
      </c>
      <c r="S7" s="14">
        <v>783</v>
      </c>
      <c r="T7" s="14">
        <v>748</v>
      </c>
      <c r="U7" s="14">
        <v>689</v>
      </c>
      <c r="V7" s="34"/>
      <c r="W7" s="34"/>
      <c r="X7" s="14">
        <v>714</v>
      </c>
      <c r="Y7" s="14">
        <v>708</v>
      </c>
      <c r="Z7" s="14">
        <v>720</v>
      </c>
      <c r="AA7" s="14">
        <v>71</v>
      </c>
      <c r="AB7" s="14">
        <v>704</v>
      </c>
      <c r="AC7" s="34"/>
      <c r="AD7" s="34"/>
      <c r="AE7" s="14">
        <v>700</v>
      </c>
      <c r="AF7" s="14">
        <v>715</v>
      </c>
      <c r="AG7" s="14">
        <v>725</v>
      </c>
      <c r="AH7" s="14">
        <v>745</v>
      </c>
      <c r="AI7" s="14">
        <v>690</v>
      </c>
      <c r="AJ7" s="34"/>
      <c r="AK7" s="34"/>
      <c r="AM7" s="19">
        <f>F7*18.4</f>
        <v>271124</v>
      </c>
    </row>
    <row r="8" spans="1:42" ht="19.95" customHeight="1" x14ac:dyDescent="0.3">
      <c r="A8" s="1">
        <v>6</v>
      </c>
      <c r="B8" s="2" t="s">
        <v>19</v>
      </c>
      <c r="C8" s="24">
        <v>10500</v>
      </c>
      <c r="D8" s="6" t="s">
        <v>28</v>
      </c>
      <c r="E8" s="8">
        <f t="shared" si="0"/>
        <v>665</v>
      </c>
      <c r="F8" s="12">
        <f t="shared" si="1"/>
        <v>9835</v>
      </c>
      <c r="G8" s="14">
        <v>260</v>
      </c>
      <c r="H8" s="34"/>
      <c r="I8" s="34"/>
      <c r="J8" s="14">
        <v>516</v>
      </c>
      <c r="K8" s="22">
        <v>502</v>
      </c>
      <c r="L8" s="22">
        <v>524</v>
      </c>
      <c r="M8" s="14">
        <v>507</v>
      </c>
      <c r="N8" s="14">
        <v>506</v>
      </c>
      <c r="O8" s="34"/>
      <c r="P8" s="34"/>
      <c r="Q8" s="14">
        <v>504</v>
      </c>
      <c r="R8" s="14">
        <v>500</v>
      </c>
      <c r="S8" s="14">
        <v>506</v>
      </c>
      <c r="T8" s="14">
        <v>506</v>
      </c>
      <c r="U8" s="14">
        <v>499</v>
      </c>
      <c r="V8" s="34"/>
      <c r="W8" s="34"/>
      <c r="X8" s="14">
        <v>488</v>
      </c>
      <c r="Y8" s="14">
        <v>500</v>
      </c>
      <c r="Z8" s="14">
        <v>509</v>
      </c>
      <c r="AA8" s="14">
        <v>35</v>
      </c>
      <c r="AB8" s="14">
        <v>508</v>
      </c>
      <c r="AC8" s="34"/>
      <c r="AD8" s="34"/>
      <c r="AE8" s="14">
        <v>507</v>
      </c>
      <c r="AF8" s="14">
        <v>500</v>
      </c>
      <c r="AG8" s="14">
        <v>466</v>
      </c>
      <c r="AH8" s="14">
        <v>490</v>
      </c>
      <c r="AI8" s="14">
        <v>502</v>
      </c>
      <c r="AJ8" s="34"/>
      <c r="AK8" s="34"/>
      <c r="AM8" s="19">
        <f>F8*1.73</f>
        <v>17014.55</v>
      </c>
    </row>
    <row r="9" spans="1:42" ht="19.95" customHeight="1" x14ac:dyDescent="0.3">
      <c r="A9" s="1">
        <v>7</v>
      </c>
      <c r="B9" s="2" t="s">
        <v>41</v>
      </c>
      <c r="C9" s="24"/>
      <c r="D9" s="6" t="s">
        <v>28</v>
      </c>
      <c r="E9" s="8"/>
      <c r="F9" s="12">
        <f t="shared" si="1"/>
        <v>4541</v>
      </c>
      <c r="G9" s="14">
        <v>264</v>
      </c>
      <c r="H9" s="34"/>
      <c r="I9" s="34"/>
      <c r="J9" s="14">
        <v>279</v>
      </c>
      <c r="K9" s="22">
        <v>262</v>
      </c>
      <c r="L9" s="22">
        <v>265</v>
      </c>
      <c r="M9" s="14">
        <v>272</v>
      </c>
      <c r="N9" s="14">
        <v>234</v>
      </c>
      <c r="O9" s="34"/>
      <c r="P9" s="34"/>
      <c r="Q9" s="14">
        <v>266</v>
      </c>
      <c r="R9" s="14">
        <v>265</v>
      </c>
      <c r="S9" s="14">
        <v>267</v>
      </c>
      <c r="T9" s="14">
        <v>266</v>
      </c>
      <c r="U9" s="14">
        <v>158</v>
      </c>
      <c r="V9" s="34"/>
      <c r="W9" s="34"/>
      <c r="X9" s="14">
        <v>157</v>
      </c>
      <c r="Y9" s="14">
        <v>159</v>
      </c>
      <c r="Z9" s="14">
        <v>187</v>
      </c>
      <c r="AA9" s="14">
        <v>41</v>
      </c>
      <c r="AB9" s="14">
        <v>156</v>
      </c>
      <c r="AC9" s="34"/>
      <c r="AD9" s="34"/>
      <c r="AE9" s="14">
        <v>240</v>
      </c>
      <c r="AF9" s="14">
        <v>200</v>
      </c>
      <c r="AG9" s="14">
        <v>200</v>
      </c>
      <c r="AH9" s="14">
        <v>203</v>
      </c>
      <c r="AI9" s="14">
        <v>200</v>
      </c>
      <c r="AJ9" s="34"/>
      <c r="AK9" s="34"/>
      <c r="AM9" s="19">
        <f t="shared" ref="AM9:AM10" si="2">F9*1.73</f>
        <v>7855.93</v>
      </c>
    </row>
    <row r="10" spans="1:42" ht="19.95" customHeight="1" x14ac:dyDescent="0.3">
      <c r="A10" s="1">
        <v>8</v>
      </c>
      <c r="B10" s="2" t="s">
        <v>18</v>
      </c>
      <c r="C10" s="24">
        <v>10080</v>
      </c>
      <c r="D10" s="6" t="s">
        <v>29</v>
      </c>
      <c r="E10" s="8">
        <f t="shared" si="0"/>
        <v>4049</v>
      </c>
      <c r="F10" s="12">
        <f t="shared" si="1"/>
        <v>6031</v>
      </c>
      <c r="G10" s="14">
        <v>304</v>
      </c>
      <c r="H10" s="34"/>
      <c r="I10" s="34"/>
      <c r="J10" s="14">
        <v>304</v>
      </c>
      <c r="K10" s="22">
        <v>300</v>
      </c>
      <c r="L10" s="22">
        <v>274</v>
      </c>
      <c r="M10" s="14">
        <v>300</v>
      </c>
      <c r="N10" s="14">
        <v>304</v>
      </c>
      <c r="O10" s="34"/>
      <c r="P10" s="34"/>
      <c r="Q10" s="14">
        <v>303</v>
      </c>
      <c r="R10" s="14">
        <v>300</v>
      </c>
      <c r="S10" s="14">
        <v>322</v>
      </c>
      <c r="T10" s="14">
        <v>304</v>
      </c>
      <c r="U10" s="14">
        <v>300</v>
      </c>
      <c r="V10" s="34"/>
      <c r="W10" s="34"/>
      <c r="X10" s="14">
        <v>275</v>
      </c>
      <c r="Y10" s="14">
        <v>291</v>
      </c>
      <c r="Z10" s="14">
        <v>299</v>
      </c>
      <c r="AA10" s="14">
        <v>39</v>
      </c>
      <c r="AB10" s="14">
        <v>300</v>
      </c>
      <c r="AC10" s="34"/>
      <c r="AD10" s="34"/>
      <c r="AE10" s="14">
        <v>310</v>
      </c>
      <c r="AF10" s="14">
        <v>305</v>
      </c>
      <c r="AG10" s="14">
        <v>301</v>
      </c>
      <c r="AH10" s="14">
        <v>297</v>
      </c>
      <c r="AI10" s="14">
        <v>299</v>
      </c>
      <c r="AJ10" s="34"/>
      <c r="AK10" s="34"/>
      <c r="AM10" s="19">
        <f t="shared" si="2"/>
        <v>10433.629999999999</v>
      </c>
    </row>
    <row r="11" spans="1:42" ht="19.95" customHeight="1" x14ac:dyDescent="0.3">
      <c r="A11" s="1">
        <v>9</v>
      </c>
      <c r="B11" s="2" t="s">
        <v>36</v>
      </c>
      <c r="C11" s="24">
        <v>8400</v>
      </c>
      <c r="D11" s="6" t="s">
        <v>28</v>
      </c>
      <c r="E11" s="8">
        <f t="shared" si="0"/>
        <v>2810</v>
      </c>
      <c r="F11" s="12">
        <f t="shared" si="1"/>
        <v>5590</v>
      </c>
      <c r="G11" s="14">
        <v>389</v>
      </c>
      <c r="H11" s="34"/>
      <c r="I11" s="34"/>
      <c r="J11" s="14">
        <v>338</v>
      </c>
      <c r="K11" s="22">
        <v>329</v>
      </c>
      <c r="L11" s="22">
        <v>0</v>
      </c>
      <c r="M11" s="14">
        <v>323</v>
      </c>
      <c r="N11" s="14">
        <v>331</v>
      </c>
      <c r="O11" s="34"/>
      <c r="P11" s="34"/>
      <c r="Q11" s="14">
        <v>332</v>
      </c>
      <c r="R11" s="14">
        <v>351</v>
      </c>
      <c r="S11" s="14">
        <v>0</v>
      </c>
      <c r="T11" s="14">
        <v>345</v>
      </c>
      <c r="U11" s="14">
        <v>348</v>
      </c>
      <c r="V11" s="34"/>
      <c r="W11" s="34"/>
      <c r="X11" s="14">
        <v>488</v>
      </c>
      <c r="Y11" s="14">
        <v>315</v>
      </c>
      <c r="Z11" s="14">
        <v>0</v>
      </c>
      <c r="AA11" s="14">
        <v>30</v>
      </c>
      <c r="AB11" s="14">
        <v>316</v>
      </c>
      <c r="AC11" s="34"/>
      <c r="AD11" s="34"/>
      <c r="AE11" s="14">
        <v>331</v>
      </c>
      <c r="AF11" s="14">
        <v>336</v>
      </c>
      <c r="AG11" s="14">
        <v>0</v>
      </c>
      <c r="AH11" s="14">
        <v>343</v>
      </c>
      <c r="AI11" s="14">
        <v>345</v>
      </c>
      <c r="AJ11" s="34"/>
      <c r="AK11" s="34"/>
      <c r="AM11" s="19">
        <f>F11*5.75</f>
        <v>32142.5</v>
      </c>
    </row>
    <row r="12" spans="1:42" ht="19.95" customHeight="1" x14ac:dyDescent="0.3">
      <c r="A12" s="1">
        <v>10</v>
      </c>
      <c r="B12" s="2" t="s">
        <v>20</v>
      </c>
      <c r="C12" s="24">
        <v>8400</v>
      </c>
      <c r="D12" s="6" t="s">
        <v>27</v>
      </c>
      <c r="E12" s="8">
        <f t="shared" si="0"/>
        <v>2262</v>
      </c>
      <c r="F12" s="12">
        <f t="shared" si="1"/>
        <v>6138</v>
      </c>
      <c r="G12" s="14">
        <v>461</v>
      </c>
      <c r="H12" s="34"/>
      <c r="I12" s="34"/>
      <c r="J12" s="14">
        <v>364</v>
      </c>
      <c r="K12" s="22">
        <v>372</v>
      </c>
      <c r="L12" s="22">
        <v>0</v>
      </c>
      <c r="M12" s="14">
        <v>384</v>
      </c>
      <c r="N12" s="14">
        <v>363</v>
      </c>
      <c r="O12" s="34"/>
      <c r="P12" s="34"/>
      <c r="Q12" s="14">
        <v>365</v>
      </c>
      <c r="R12" s="14">
        <v>381</v>
      </c>
      <c r="S12" s="14">
        <v>0</v>
      </c>
      <c r="T12" s="14">
        <v>378</v>
      </c>
      <c r="U12" s="14">
        <v>359</v>
      </c>
      <c r="V12" s="34"/>
      <c r="W12" s="34"/>
      <c r="X12" s="14">
        <v>418</v>
      </c>
      <c r="Y12" s="14">
        <v>389</v>
      </c>
      <c r="Z12" s="14">
        <v>0</v>
      </c>
      <c r="AA12" s="14">
        <v>38</v>
      </c>
      <c r="AB12" s="14">
        <v>362</v>
      </c>
      <c r="AC12" s="34"/>
      <c r="AD12" s="34"/>
      <c r="AE12" s="14">
        <v>380</v>
      </c>
      <c r="AF12" s="14">
        <v>344</v>
      </c>
      <c r="AG12" s="14">
        <v>19</v>
      </c>
      <c r="AH12" s="14">
        <v>379</v>
      </c>
      <c r="AI12" s="14">
        <v>382</v>
      </c>
      <c r="AJ12" s="34"/>
      <c r="AK12" s="34"/>
      <c r="AM12" s="19">
        <f>F12*5.75</f>
        <v>35293.5</v>
      </c>
      <c r="AP12" s="21"/>
    </row>
    <row r="13" spans="1:42" ht="19.95" customHeight="1" x14ac:dyDescent="0.3">
      <c r="A13" s="1">
        <v>11</v>
      </c>
      <c r="B13" s="2" t="s">
        <v>21</v>
      </c>
      <c r="C13" s="24">
        <v>5040</v>
      </c>
      <c r="D13" s="6" t="s">
        <v>27</v>
      </c>
      <c r="E13" s="8">
        <f t="shared" si="0"/>
        <v>154</v>
      </c>
      <c r="F13" s="12">
        <f t="shared" si="1"/>
        <v>4886</v>
      </c>
      <c r="G13" s="14">
        <v>207</v>
      </c>
      <c r="H13" s="34"/>
      <c r="I13" s="34"/>
      <c r="J13" s="14">
        <v>234</v>
      </c>
      <c r="K13" s="22">
        <v>235</v>
      </c>
      <c r="L13" s="22">
        <v>242</v>
      </c>
      <c r="M13" s="14">
        <v>238</v>
      </c>
      <c r="N13" s="14">
        <v>235</v>
      </c>
      <c r="O13" s="34"/>
      <c r="P13" s="34"/>
      <c r="Q13" s="14">
        <v>243</v>
      </c>
      <c r="R13" s="14">
        <v>240</v>
      </c>
      <c r="S13" s="14">
        <v>241</v>
      </c>
      <c r="T13" s="14">
        <v>239</v>
      </c>
      <c r="U13" s="14">
        <v>238</v>
      </c>
      <c r="V13" s="34"/>
      <c r="W13" s="34"/>
      <c r="X13" s="14">
        <v>367</v>
      </c>
      <c r="Y13" s="14">
        <v>238</v>
      </c>
      <c r="Z13" s="14">
        <v>234</v>
      </c>
      <c r="AA13" s="14">
        <v>31</v>
      </c>
      <c r="AB13" s="14">
        <v>228</v>
      </c>
      <c r="AC13" s="34"/>
      <c r="AD13" s="34"/>
      <c r="AE13" s="14">
        <v>234</v>
      </c>
      <c r="AF13" s="14">
        <v>239</v>
      </c>
      <c r="AG13" s="14">
        <v>250</v>
      </c>
      <c r="AH13" s="14">
        <v>236</v>
      </c>
      <c r="AI13" s="14">
        <v>237</v>
      </c>
      <c r="AJ13" s="34"/>
      <c r="AK13" s="34"/>
      <c r="AM13" s="19">
        <f>F13*4.95</f>
        <v>24185.7</v>
      </c>
    </row>
    <row r="14" spans="1:42" ht="19.95" customHeight="1" x14ac:dyDescent="0.3">
      <c r="A14" s="1">
        <v>12</v>
      </c>
      <c r="B14" s="2" t="s">
        <v>34</v>
      </c>
      <c r="C14" s="24">
        <v>10500</v>
      </c>
      <c r="D14" s="6" t="s">
        <v>27</v>
      </c>
      <c r="E14" s="8">
        <f t="shared" si="0"/>
        <v>443</v>
      </c>
      <c r="F14" s="12">
        <f t="shared" si="1"/>
        <v>10057</v>
      </c>
      <c r="G14" s="14">
        <v>500</v>
      </c>
      <c r="H14" s="34"/>
      <c r="I14" s="34"/>
      <c r="J14" s="14">
        <v>481</v>
      </c>
      <c r="K14" s="22">
        <v>503</v>
      </c>
      <c r="L14" s="22">
        <v>503</v>
      </c>
      <c r="M14" s="14">
        <v>501</v>
      </c>
      <c r="N14" s="14">
        <v>505</v>
      </c>
      <c r="O14" s="34"/>
      <c r="P14" s="34"/>
      <c r="Q14" s="14">
        <v>473</v>
      </c>
      <c r="R14" s="14">
        <v>484</v>
      </c>
      <c r="S14" s="14">
        <v>490</v>
      </c>
      <c r="T14" s="14">
        <v>490</v>
      </c>
      <c r="U14" s="14">
        <v>501</v>
      </c>
      <c r="V14" s="34"/>
      <c r="W14" s="34"/>
      <c r="X14" s="14">
        <v>249</v>
      </c>
      <c r="Y14" s="14">
        <v>500</v>
      </c>
      <c r="Z14" s="14">
        <v>499</v>
      </c>
      <c r="AA14" s="14">
        <v>72</v>
      </c>
      <c r="AB14" s="14">
        <v>499</v>
      </c>
      <c r="AC14" s="34"/>
      <c r="AD14" s="34"/>
      <c r="AE14" s="14">
        <v>486</v>
      </c>
      <c r="AF14" s="14">
        <v>485</v>
      </c>
      <c r="AG14" s="14">
        <v>848</v>
      </c>
      <c r="AH14" s="14">
        <v>495</v>
      </c>
      <c r="AI14" s="14">
        <v>493</v>
      </c>
      <c r="AJ14" s="34"/>
      <c r="AK14" s="34"/>
      <c r="AM14" s="19">
        <f>F14*1.75</f>
        <v>17599.75</v>
      </c>
    </row>
    <row r="15" spans="1:42" ht="19.95" customHeight="1" x14ac:dyDescent="0.3">
      <c r="A15" s="1">
        <v>13</v>
      </c>
      <c r="B15" s="2" t="s">
        <v>35</v>
      </c>
      <c r="C15" s="24">
        <v>3360</v>
      </c>
      <c r="D15" s="6" t="s">
        <v>28</v>
      </c>
      <c r="E15" s="8">
        <f t="shared" si="0"/>
        <v>-982</v>
      </c>
      <c r="F15" s="12">
        <f t="shared" si="1"/>
        <v>4342</v>
      </c>
      <c r="G15" s="14">
        <v>168</v>
      </c>
      <c r="H15" s="34"/>
      <c r="I15" s="34"/>
      <c r="J15" s="14">
        <v>151</v>
      </c>
      <c r="K15" s="22">
        <v>1256</v>
      </c>
      <c r="L15" s="22">
        <v>158</v>
      </c>
      <c r="M15" s="14">
        <v>155</v>
      </c>
      <c r="N15" s="14">
        <v>159</v>
      </c>
      <c r="O15" s="34"/>
      <c r="P15" s="34"/>
      <c r="Q15" s="14">
        <v>160</v>
      </c>
      <c r="R15" s="14">
        <v>163</v>
      </c>
      <c r="S15" s="14">
        <v>159</v>
      </c>
      <c r="T15" s="14">
        <v>159</v>
      </c>
      <c r="U15" s="14">
        <v>169</v>
      </c>
      <c r="V15" s="34"/>
      <c r="W15" s="34"/>
      <c r="X15" s="14">
        <v>158</v>
      </c>
      <c r="Y15" s="14">
        <v>160</v>
      </c>
      <c r="Z15" s="14">
        <v>160</v>
      </c>
      <c r="AA15" s="14">
        <v>29</v>
      </c>
      <c r="AB15" s="14">
        <v>161</v>
      </c>
      <c r="AC15" s="34"/>
      <c r="AD15" s="34"/>
      <c r="AE15" s="14">
        <v>182</v>
      </c>
      <c r="AF15" s="14">
        <v>158</v>
      </c>
      <c r="AG15" s="14">
        <v>168</v>
      </c>
      <c r="AH15" s="14">
        <v>159</v>
      </c>
      <c r="AI15" s="14">
        <v>150</v>
      </c>
      <c r="AJ15" s="34"/>
      <c r="AK15" s="34"/>
      <c r="AM15" s="19">
        <f>F15*14.95</f>
        <v>64912.899999999994</v>
      </c>
    </row>
    <row r="16" spans="1:42" ht="19.95" customHeight="1" x14ac:dyDescent="0.3">
      <c r="A16" s="1">
        <v>14</v>
      </c>
      <c r="B16" s="2" t="s">
        <v>22</v>
      </c>
      <c r="C16" s="24">
        <v>4830</v>
      </c>
      <c r="D16" s="6" t="s">
        <v>27</v>
      </c>
      <c r="E16" s="8">
        <f t="shared" si="0"/>
        <v>171</v>
      </c>
      <c r="F16" s="12">
        <f t="shared" si="1"/>
        <v>4659</v>
      </c>
      <c r="G16" s="14">
        <v>232</v>
      </c>
      <c r="H16" s="34"/>
      <c r="I16" s="34"/>
      <c r="J16" s="14">
        <v>226</v>
      </c>
      <c r="K16" s="22">
        <v>229</v>
      </c>
      <c r="L16" s="22">
        <v>221</v>
      </c>
      <c r="M16" s="14">
        <v>221</v>
      </c>
      <c r="N16" s="14">
        <v>231</v>
      </c>
      <c r="O16" s="34"/>
      <c r="P16" s="34"/>
      <c r="Q16" s="14">
        <v>241</v>
      </c>
      <c r="R16" s="14">
        <v>240</v>
      </c>
      <c r="S16" s="14">
        <v>245</v>
      </c>
      <c r="T16" s="14">
        <v>236</v>
      </c>
      <c r="U16" s="14">
        <v>244</v>
      </c>
      <c r="V16" s="34"/>
      <c r="W16" s="34"/>
      <c r="X16" s="14">
        <v>216</v>
      </c>
      <c r="Y16" s="14">
        <v>237</v>
      </c>
      <c r="Z16" s="14">
        <v>235</v>
      </c>
      <c r="AA16" s="14">
        <v>29</v>
      </c>
      <c r="AB16" s="14">
        <v>225</v>
      </c>
      <c r="AC16" s="34"/>
      <c r="AD16" s="34"/>
      <c r="AE16" s="14">
        <v>219</v>
      </c>
      <c r="AF16" s="14">
        <v>225</v>
      </c>
      <c r="AG16" s="14">
        <v>237</v>
      </c>
      <c r="AH16" s="14">
        <v>234</v>
      </c>
      <c r="AI16" s="14">
        <v>236</v>
      </c>
      <c r="AJ16" s="34"/>
      <c r="AK16" s="34"/>
      <c r="AM16" s="19">
        <f>F16*18.29</f>
        <v>85213.11</v>
      </c>
    </row>
    <row r="17" spans="1:40" ht="19.95" customHeight="1" x14ac:dyDescent="0.3">
      <c r="A17" s="1">
        <v>15</v>
      </c>
      <c r="B17" s="2" t="s">
        <v>23</v>
      </c>
      <c r="C17" s="24">
        <v>10500</v>
      </c>
      <c r="D17" s="6" t="s">
        <v>27</v>
      </c>
      <c r="E17" s="8">
        <f t="shared" si="0"/>
        <v>1013</v>
      </c>
      <c r="F17" s="12">
        <f t="shared" si="1"/>
        <v>9487</v>
      </c>
      <c r="G17" s="14">
        <v>488</v>
      </c>
      <c r="H17" s="34"/>
      <c r="I17" s="34"/>
      <c r="J17" s="14">
        <v>447</v>
      </c>
      <c r="K17" s="22">
        <v>435</v>
      </c>
      <c r="L17" s="22">
        <v>431</v>
      </c>
      <c r="M17" s="14">
        <v>443</v>
      </c>
      <c r="N17" s="14">
        <v>445</v>
      </c>
      <c r="O17" s="34"/>
      <c r="P17" s="34"/>
      <c r="Q17" s="14">
        <v>393</v>
      </c>
      <c r="R17" s="14">
        <v>468</v>
      </c>
      <c r="S17" s="14">
        <v>487</v>
      </c>
      <c r="T17" s="14">
        <v>473</v>
      </c>
      <c r="U17" s="14">
        <v>448</v>
      </c>
      <c r="V17" s="34"/>
      <c r="W17" s="34"/>
      <c r="X17" s="14">
        <v>444</v>
      </c>
      <c r="Y17" s="14">
        <v>454</v>
      </c>
      <c r="Z17" s="14">
        <v>450</v>
      </c>
      <c r="AA17" s="14">
        <v>451</v>
      </c>
      <c r="AB17" s="14">
        <v>447</v>
      </c>
      <c r="AC17" s="34"/>
      <c r="AD17" s="34"/>
      <c r="AE17" s="14">
        <v>445</v>
      </c>
      <c r="AF17" s="14">
        <v>489</v>
      </c>
      <c r="AG17" s="14">
        <v>435</v>
      </c>
      <c r="AH17" s="14">
        <v>457</v>
      </c>
      <c r="AI17" s="14">
        <v>457</v>
      </c>
      <c r="AJ17" s="34"/>
      <c r="AK17" s="34"/>
      <c r="AM17" s="19">
        <f>F17*10.99</f>
        <v>104262.13</v>
      </c>
    </row>
    <row r="18" spans="1:40" ht="19.95" customHeight="1" x14ac:dyDescent="0.3">
      <c r="A18" s="1">
        <v>16</v>
      </c>
      <c r="B18" s="2" t="s">
        <v>50</v>
      </c>
      <c r="C18" s="24" t="s">
        <v>51</v>
      </c>
      <c r="D18" s="9"/>
      <c r="E18" s="10"/>
      <c r="F18" s="12">
        <f t="shared" si="1"/>
        <v>42</v>
      </c>
      <c r="G18" s="14">
        <v>2</v>
      </c>
      <c r="H18" s="34"/>
      <c r="I18" s="34"/>
      <c r="J18" s="14">
        <v>2</v>
      </c>
      <c r="K18" s="22">
        <v>2</v>
      </c>
      <c r="L18" s="22">
        <v>2</v>
      </c>
      <c r="M18" s="14">
        <v>2</v>
      </c>
      <c r="N18" s="14">
        <v>2</v>
      </c>
      <c r="O18" s="34"/>
      <c r="P18" s="34"/>
      <c r="Q18" s="14">
        <v>2</v>
      </c>
      <c r="R18" s="14">
        <v>2</v>
      </c>
      <c r="S18" s="14">
        <v>2</v>
      </c>
      <c r="T18" s="14">
        <v>2</v>
      </c>
      <c r="U18" s="14">
        <v>2</v>
      </c>
      <c r="V18" s="34"/>
      <c r="W18" s="34"/>
      <c r="X18" s="14">
        <v>2</v>
      </c>
      <c r="Y18" s="14">
        <v>2</v>
      </c>
      <c r="Z18" s="14">
        <v>2</v>
      </c>
      <c r="AA18" s="14">
        <v>2</v>
      </c>
      <c r="AB18" s="14">
        <v>2</v>
      </c>
      <c r="AC18" s="34"/>
      <c r="AD18" s="34"/>
      <c r="AE18" s="14">
        <v>2</v>
      </c>
      <c r="AF18" s="14">
        <v>2</v>
      </c>
      <c r="AG18" s="14">
        <v>2</v>
      </c>
      <c r="AH18" s="14">
        <v>2</v>
      </c>
      <c r="AI18" s="14">
        <v>2</v>
      </c>
      <c r="AJ18" s="34"/>
      <c r="AK18" s="34"/>
      <c r="AM18" s="26"/>
    </row>
    <row r="19" spans="1:40" ht="19.95" customHeight="1" x14ac:dyDescent="0.3">
      <c r="A19" s="30"/>
      <c r="B19" s="31"/>
      <c r="C19" s="32"/>
      <c r="D19" s="9"/>
      <c r="E19" s="10"/>
      <c r="F19" s="13"/>
      <c r="G19" s="14"/>
      <c r="H19" s="34"/>
      <c r="I19" s="34"/>
      <c r="J19" s="14"/>
      <c r="K19" s="22"/>
      <c r="L19" s="22"/>
      <c r="M19" s="14"/>
      <c r="N19" s="14"/>
      <c r="O19" s="34"/>
      <c r="P19" s="34"/>
      <c r="Q19" s="14"/>
      <c r="R19" s="14"/>
      <c r="S19" s="14"/>
      <c r="T19" s="14"/>
      <c r="U19" s="14"/>
      <c r="V19" s="34"/>
      <c r="W19" s="34"/>
      <c r="X19" s="14"/>
      <c r="Y19" s="14"/>
      <c r="Z19" s="14"/>
      <c r="AA19" s="14"/>
      <c r="AB19" s="14"/>
      <c r="AC19" s="34"/>
      <c r="AD19" s="34"/>
      <c r="AE19" s="14"/>
      <c r="AF19" s="14"/>
      <c r="AG19" s="14"/>
      <c r="AH19" s="14"/>
      <c r="AI19" s="14"/>
      <c r="AJ19" s="34"/>
      <c r="AK19" s="34"/>
      <c r="AM19" s="26"/>
    </row>
    <row r="20" spans="1:40" ht="19.95" customHeight="1" x14ac:dyDescent="0.3">
      <c r="A20" s="48" t="s">
        <v>43</v>
      </c>
      <c r="B20" s="49"/>
      <c r="C20" s="27"/>
      <c r="D20" s="9"/>
      <c r="E20" s="10"/>
      <c r="F20" s="12">
        <f t="shared" si="1"/>
        <v>0</v>
      </c>
      <c r="G20" s="14"/>
      <c r="H20" s="34"/>
      <c r="I20" s="34"/>
      <c r="J20" s="14"/>
      <c r="K20" s="22"/>
      <c r="L20" s="22"/>
      <c r="M20" s="14"/>
      <c r="N20" s="14"/>
      <c r="O20" s="34"/>
      <c r="P20" s="34"/>
      <c r="Q20" s="14"/>
      <c r="R20" s="14"/>
      <c r="S20" s="14"/>
      <c r="T20" s="14"/>
      <c r="U20" s="14"/>
      <c r="V20" s="34"/>
      <c r="W20" s="34"/>
      <c r="X20" s="14"/>
      <c r="Y20" s="14"/>
      <c r="Z20" s="14"/>
      <c r="AA20" s="14"/>
      <c r="AB20" s="14"/>
      <c r="AC20" s="34"/>
      <c r="AD20" s="34"/>
      <c r="AE20" s="14"/>
      <c r="AF20" s="14"/>
      <c r="AG20" s="14"/>
      <c r="AH20" s="14"/>
      <c r="AI20" s="14"/>
      <c r="AJ20" s="34"/>
      <c r="AK20" s="34"/>
      <c r="AM20" s="26"/>
    </row>
    <row r="21" spans="1:40" ht="19.95" customHeight="1" x14ac:dyDescent="0.3">
      <c r="A21" s="1"/>
      <c r="B21" s="28" t="s">
        <v>44</v>
      </c>
      <c r="C21" s="24"/>
      <c r="D21" s="9"/>
      <c r="E21" s="10"/>
      <c r="F21" s="12">
        <f t="shared" si="1"/>
        <v>28</v>
      </c>
      <c r="G21" s="14"/>
      <c r="H21" s="34"/>
      <c r="I21" s="34"/>
      <c r="J21" s="14"/>
      <c r="K21" s="22"/>
      <c r="L21" s="22">
        <v>7</v>
      </c>
      <c r="M21" s="14"/>
      <c r="N21" s="14"/>
      <c r="O21" s="34"/>
      <c r="P21" s="34"/>
      <c r="Q21" s="14"/>
      <c r="R21" s="14"/>
      <c r="S21" s="14">
        <v>7</v>
      </c>
      <c r="T21" s="14"/>
      <c r="U21" s="14"/>
      <c r="V21" s="34"/>
      <c r="W21" s="34"/>
      <c r="X21" s="14"/>
      <c r="Y21" s="14"/>
      <c r="Z21" s="14">
        <v>7</v>
      </c>
      <c r="AA21" s="14"/>
      <c r="AB21" s="14"/>
      <c r="AC21" s="34"/>
      <c r="AD21" s="34"/>
      <c r="AE21" s="14"/>
      <c r="AF21" s="14"/>
      <c r="AG21" s="14">
        <v>7</v>
      </c>
      <c r="AH21" s="14"/>
      <c r="AI21" s="14"/>
      <c r="AJ21" s="34"/>
      <c r="AK21" s="34"/>
      <c r="AM21" s="26"/>
    </row>
    <row r="22" spans="1:40" ht="19.95" customHeight="1" x14ac:dyDescent="0.3">
      <c r="A22" s="1"/>
      <c r="B22" s="28" t="s">
        <v>45</v>
      </c>
      <c r="C22" s="24"/>
      <c r="D22" s="9"/>
      <c r="E22" s="10"/>
      <c r="F22" s="12">
        <f t="shared" si="1"/>
        <v>16</v>
      </c>
      <c r="G22" s="14"/>
      <c r="H22" s="34"/>
      <c r="I22" s="34"/>
      <c r="J22" s="14"/>
      <c r="K22" s="22"/>
      <c r="L22" s="22">
        <v>4</v>
      </c>
      <c r="M22" s="14"/>
      <c r="N22" s="14"/>
      <c r="O22" s="34"/>
      <c r="P22" s="34"/>
      <c r="Q22" s="14"/>
      <c r="R22" s="14"/>
      <c r="S22" s="14">
        <v>4</v>
      </c>
      <c r="T22" s="14"/>
      <c r="U22" s="14"/>
      <c r="V22" s="34"/>
      <c r="W22" s="34"/>
      <c r="X22" s="14"/>
      <c r="Y22" s="14"/>
      <c r="Z22" s="14">
        <v>4</v>
      </c>
      <c r="AA22" s="14"/>
      <c r="AB22" s="14"/>
      <c r="AC22" s="34"/>
      <c r="AD22" s="34"/>
      <c r="AE22" s="14"/>
      <c r="AF22" s="14"/>
      <c r="AG22" s="14">
        <v>4</v>
      </c>
      <c r="AH22" s="14"/>
      <c r="AI22" s="14"/>
      <c r="AJ22" s="34"/>
      <c r="AK22" s="34"/>
      <c r="AM22" s="26"/>
      <c r="AN22" s="14">
        <v>115</v>
      </c>
    </row>
    <row r="23" spans="1:40" ht="19.95" customHeight="1" x14ac:dyDescent="0.3">
      <c r="A23" s="1"/>
      <c r="B23" s="28" t="s">
        <v>46</v>
      </c>
      <c r="C23" s="24"/>
      <c r="D23" s="9"/>
      <c r="E23" s="10"/>
      <c r="F23" s="12">
        <f t="shared" si="1"/>
        <v>8</v>
      </c>
      <c r="G23" s="14"/>
      <c r="H23" s="34"/>
      <c r="I23" s="34"/>
      <c r="J23" s="14"/>
      <c r="K23" s="22"/>
      <c r="L23" s="22">
        <v>4</v>
      </c>
      <c r="M23" s="14"/>
      <c r="N23" s="14"/>
      <c r="O23" s="34"/>
      <c r="P23" s="34"/>
      <c r="Q23" s="14"/>
      <c r="R23" s="14"/>
      <c r="S23" s="14"/>
      <c r="T23" s="14"/>
      <c r="U23" s="14"/>
      <c r="V23" s="34"/>
      <c r="W23" s="34"/>
      <c r="X23" s="14"/>
      <c r="Y23" s="14"/>
      <c r="Z23" s="14">
        <v>4</v>
      </c>
      <c r="AA23" s="14"/>
      <c r="AB23" s="14"/>
      <c r="AC23" s="34"/>
      <c r="AD23" s="34"/>
      <c r="AE23" s="14"/>
      <c r="AF23" s="14"/>
      <c r="AG23" s="14"/>
      <c r="AH23" s="14"/>
      <c r="AI23" s="14"/>
      <c r="AJ23" s="34"/>
      <c r="AK23" s="34"/>
      <c r="AM23" s="26"/>
    </row>
    <row r="24" spans="1:40" ht="19.95" customHeight="1" x14ac:dyDescent="0.3">
      <c r="A24" s="1"/>
      <c r="B24" s="28" t="s">
        <v>47</v>
      </c>
      <c r="C24" s="24"/>
      <c r="D24" s="9"/>
      <c r="E24" s="10"/>
      <c r="F24" s="12"/>
      <c r="G24" s="14"/>
      <c r="H24" s="34"/>
      <c r="I24" s="34"/>
      <c r="J24" s="14"/>
      <c r="K24" s="22"/>
      <c r="L24" s="22"/>
      <c r="M24" s="14"/>
      <c r="N24" s="14"/>
      <c r="O24" s="34"/>
      <c r="P24" s="34"/>
      <c r="Q24" s="14"/>
      <c r="R24" s="14"/>
      <c r="S24" s="14">
        <v>4</v>
      </c>
      <c r="T24" s="14"/>
      <c r="U24" s="14"/>
      <c r="V24" s="34"/>
      <c r="W24" s="34"/>
      <c r="X24" s="14"/>
      <c r="Y24" s="14"/>
      <c r="Z24" s="14"/>
      <c r="AA24" s="14"/>
      <c r="AB24" s="14"/>
      <c r="AC24" s="34"/>
      <c r="AD24" s="34"/>
      <c r="AE24" s="14"/>
      <c r="AF24" s="14"/>
      <c r="AG24" s="14">
        <v>4</v>
      </c>
      <c r="AH24" s="14"/>
      <c r="AI24" s="14"/>
      <c r="AJ24" s="34"/>
      <c r="AK24" s="34"/>
      <c r="AM24" s="26"/>
    </row>
    <row r="25" spans="1:40" ht="19.95" customHeight="1" x14ac:dyDescent="0.3">
      <c r="A25" s="1"/>
      <c r="B25" s="28" t="s">
        <v>53</v>
      </c>
      <c r="C25" s="24"/>
      <c r="D25" s="9"/>
      <c r="E25" s="10"/>
      <c r="F25" s="12"/>
      <c r="G25" s="14"/>
      <c r="H25" s="34"/>
      <c r="I25" s="34"/>
      <c r="J25" s="14"/>
      <c r="K25" s="22"/>
      <c r="L25" s="22">
        <v>4</v>
      </c>
      <c r="M25" s="14"/>
      <c r="N25" s="14"/>
      <c r="O25" s="34"/>
      <c r="P25" s="34"/>
      <c r="Q25" s="14"/>
      <c r="R25" s="14"/>
      <c r="S25" s="14">
        <v>4</v>
      </c>
      <c r="T25" s="14"/>
      <c r="U25" s="14"/>
      <c r="V25" s="34"/>
      <c r="W25" s="34"/>
      <c r="X25" s="14"/>
      <c r="Y25" s="14"/>
      <c r="Z25" s="14">
        <v>4</v>
      </c>
      <c r="AA25" s="14"/>
      <c r="AB25" s="14"/>
      <c r="AC25" s="34"/>
      <c r="AD25" s="34"/>
      <c r="AE25" s="14"/>
      <c r="AF25" s="14"/>
      <c r="AG25" s="14">
        <v>4</v>
      </c>
      <c r="AH25" s="14"/>
      <c r="AI25" s="14"/>
      <c r="AJ25" s="34"/>
      <c r="AK25" s="34"/>
      <c r="AM25" s="26"/>
    </row>
    <row r="26" spans="1:40" ht="19.95" customHeight="1" x14ac:dyDescent="0.3">
      <c r="A26" s="1"/>
      <c r="B26" s="28" t="s">
        <v>48</v>
      </c>
      <c r="C26" s="24"/>
      <c r="D26" s="9"/>
      <c r="E26" s="10"/>
      <c r="F26" s="12"/>
      <c r="G26" s="14"/>
      <c r="H26" s="34"/>
      <c r="I26" s="34"/>
      <c r="J26" s="14"/>
      <c r="K26" s="22"/>
      <c r="L26" s="22"/>
      <c r="M26" s="14"/>
      <c r="N26" s="14"/>
      <c r="O26" s="34"/>
      <c r="P26" s="34"/>
      <c r="Q26" s="14"/>
      <c r="R26" s="14"/>
      <c r="S26" s="14"/>
      <c r="T26" s="14"/>
      <c r="U26" s="14"/>
      <c r="V26" s="34"/>
      <c r="W26" s="34"/>
      <c r="X26" s="14"/>
      <c r="Y26" s="14"/>
      <c r="Z26" s="14"/>
      <c r="AA26" s="14"/>
      <c r="AB26" s="14"/>
      <c r="AC26" s="34"/>
      <c r="AD26" s="34"/>
      <c r="AE26" s="14"/>
      <c r="AF26" s="14"/>
      <c r="AG26" s="14"/>
      <c r="AH26" s="14"/>
      <c r="AI26" s="14"/>
      <c r="AJ26" s="34"/>
      <c r="AK26" s="34"/>
      <c r="AM26" s="26"/>
    </row>
    <row r="27" spans="1:40" ht="19.95" customHeight="1" x14ac:dyDescent="0.3">
      <c r="A27" s="17"/>
      <c r="B27" s="29" t="s">
        <v>49</v>
      </c>
      <c r="C27" s="24"/>
      <c r="D27" s="9"/>
      <c r="E27" s="10"/>
      <c r="F27" s="12">
        <f t="shared" si="1"/>
        <v>0</v>
      </c>
      <c r="G27" s="14"/>
      <c r="H27" s="34"/>
      <c r="I27" s="34"/>
      <c r="J27" s="14"/>
      <c r="K27" s="22"/>
      <c r="L27" s="22"/>
      <c r="M27" s="14"/>
      <c r="N27" s="14"/>
      <c r="O27" s="34"/>
      <c r="P27" s="34"/>
      <c r="Q27" s="14"/>
      <c r="R27" s="14"/>
      <c r="S27" s="14"/>
      <c r="T27" s="14"/>
      <c r="U27" s="14"/>
      <c r="V27" s="34"/>
      <c r="W27" s="34"/>
      <c r="X27" s="14"/>
      <c r="Y27" s="14"/>
      <c r="Z27" s="14"/>
      <c r="AA27" s="14"/>
      <c r="AB27" s="14"/>
      <c r="AC27" s="34"/>
      <c r="AD27" s="34"/>
      <c r="AE27" s="14"/>
      <c r="AF27" s="14"/>
      <c r="AG27" s="14"/>
      <c r="AH27" s="14"/>
      <c r="AI27" s="14"/>
      <c r="AJ27" s="34"/>
      <c r="AK27" s="34"/>
      <c r="AM27" s="20">
        <f>SUM(AM3:AM17)</f>
        <v>1095931.77</v>
      </c>
    </row>
    <row r="28" spans="1:40" ht="19.95" customHeight="1" x14ac:dyDescent="0.3">
      <c r="A28" s="1">
        <v>16</v>
      </c>
      <c r="B28" s="35" t="s">
        <v>25</v>
      </c>
      <c r="C28" s="36"/>
      <c r="D28" s="18" t="s">
        <v>7</v>
      </c>
      <c r="E28" s="18">
        <f t="shared" ref="E28:E35" si="3">C28-F28</f>
        <v>0</v>
      </c>
      <c r="F28" s="12">
        <f t="shared" si="1"/>
        <v>0</v>
      </c>
      <c r="G28" s="14"/>
      <c r="H28" s="34"/>
      <c r="I28" s="34"/>
      <c r="J28" s="14"/>
      <c r="K28" s="22"/>
      <c r="L28" s="22"/>
      <c r="M28" s="14"/>
      <c r="N28" s="14"/>
      <c r="O28" s="34"/>
      <c r="P28" s="34"/>
      <c r="Q28" s="14"/>
      <c r="R28" s="14"/>
      <c r="S28" s="14"/>
      <c r="T28" s="14"/>
      <c r="U28" s="14"/>
      <c r="V28" s="34"/>
      <c r="W28" s="34"/>
      <c r="X28" s="14"/>
      <c r="Y28" s="14"/>
      <c r="Z28" s="14"/>
      <c r="AA28" s="14"/>
      <c r="AB28" s="14"/>
      <c r="AC28" s="34"/>
      <c r="AD28" s="34"/>
      <c r="AE28" s="14"/>
      <c r="AF28" s="14"/>
      <c r="AG28" s="14"/>
      <c r="AH28" s="14"/>
      <c r="AI28" s="14"/>
      <c r="AJ28" s="34"/>
      <c r="AK28" s="34"/>
    </row>
    <row r="29" spans="1:40" ht="19.95" customHeight="1" x14ac:dyDescent="0.3">
      <c r="A29" s="1">
        <v>17</v>
      </c>
      <c r="B29" s="35" t="s">
        <v>24</v>
      </c>
      <c r="C29" s="36"/>
      <c r="D29" s="18" t="s">
        <v>7</v>
      </c>
      <c r="E29" s="18">
        <f t="shared" si="3"/>
        <v>0</v>
      </c>
      <c r="F29" s="12">
        <f t="shared" si="1"/>
        <v>0</v>
      </c>
      <c r="G29" s="14"/>
      <c r="H29" s="34"/>
      <c r="I29" s="34"/>
      <c r="J29" s="14"/>
      <c r="K29" s="22"/>
      <c r="L29" s="22"/>
      <c r="M29" s="14"/>
      <c r="N29" s="14"/>
      <c r="O29" s="34"/>
      <c r="P29" s="34"/>
      <c r="Q29" s="14"/>
      <c r="R29" s="14"/>
      <c r="S29" s="14"/>
      <c r="T29" s="14"/>
      <c r="U29" s="14"/>
      <c r="V29" s="34"/>
      <c r="W29" s="34"/>
      <c r="X29" s="14"/>
      <c r="Y29" s="14"/>
      <c r="Z29" s="14"/>
      <c r="AA29" s="14"/>
      <c r="AB29" s="14"/>
      <c r="AC29" s="34"/>
      <c r="AD29" s="34"/>
      <c r="AE29" s="14"/>
      <c r="AF29" s="14"/>
      <c r="AG29" s="14"/>
      <c r="AH29" s="14"/>
      <c r="AI29" s="14"/>
      <c r="AJ29" s="34"/>
      <c r="AK29" s="34"/>
    </row>
    <row r="30" spans="1:40" ht="19.95" customHeight="1" x14ac:dyDescent="0.3">
      <c r="A30" s="1">
        <v>18</v>
      </c>
      <c r="B30" s="2" t="s">
        <v>26</v>
      </c>
      <c r="C30" s="24">
        <v>630</v>
      </c>
      <c r="D30" s="6" t="s">
        <v>7</v>
      </c>
      <c r="E30" s="8">
        <f t="shared" si="3"/>
        <v>530</v>
      </c>
      <c r="F30" s="12">
        <f t="shared" si="1"/>
        <v>100</v>
      </c>
      <c r="G30" s="14"/>
      <c r="H30" s="34"/>
      <c r="I30" s="34"/>
      <c r="J30" s="14">
        <v>10</v>
      </c>
      <c r="K30" s="22"/>
      <c r="L30" s="22">
        <v>10</v>
      </c>
      <c r="M30" s="14"/>
      <c r="N30" s="14"/>
      <c r="O30" s="34"/>
      <c r="P30" s="34"/>
      <c r="Q30" s="14">
        <v>20</v>
      </c>
      <c r="R30" s="14"/>
      <c r="S30" s="14">
        <v>20</v>
      </c>
      <c r="T30" s="14"/>
      <c r="U30" s="14"/>
      <c r="V30" s="34"/>
      <c r="W30" s="34"/>
      <c r="X30" s="14">
        <v>20</v>
      </c>
      <c r="Y30" s="14"/>
      <c r="Z30" s="14"/>
      <c r="AA30" s="14"/>
      <c r="AB30" s="14"/>
      <c r="AC30" s="34"/>
      <c r="AD30" s="34"/>
      <c r="AE30" s="14">
        <v>10</v>
      </c>
      <c r="AF30" s="14"/>
      <c r="AG30" s="14">
        <v>10</v>
      </c>
      <c r="AH30" s="14"/>
      <c r="AI30" s="14"/>
      <c r="AJ30" s="34"/>
      <c r="AK30" s="34"/>
    </row>
    <row r="31" spans="1:40" ht="19.95" customHeight="1" x14ac:dyDescent="0.3">
      <c r="A31" s="1">
        <v>19</v>
      </c>
      <c r="B31" s="2" t="s">
        <v>4</v>
      </c>
      <c r="C31" s="24"/>
      <c r="D31" s="6" t="s">
        <v>30</v>
      </c>
      <c r="E31" s="8">
        <f t="shared" si="3"/>
        <v>-160</v>
      </c>
      <c r="F31" s="12">
        <f t="shared" si="1"/>
        <v>160</v>
      </c>
      <c r="G31" s="14"/>
      <c r="H31" s="34"/>
      <c r="I31" s="34"/>
      <c r="J31" s="14">
        <v>20</v>
      </c>
      <c r="K31" s="22"/>
      <c r="L31" s="22">
        <v>20</v>
      </c>
      <c r="M31" s="14"/>
      <c r="N31" s="14"/>
      <c r="O31" s="34"/>
      <c r="P31" s="34"/>
      <c r="Q31" s="14">
        <v>20</v>
      </c>
      <c r="R31" s="14"/>
      <c r="S31" s="14">
        <v>20</v>
      </c>
      <c r="T31" s="14"/>
      <c r="U31" s="14"/>
      <c r="V31" s="34"/>
      <c r="W31" s="34"/>
      <c r="X31" s="14">
        <v>20</v>
      </c>
      <c r="Y31" s="14"/>
      <c r="Z31" s="14">
        <v>20</v>
      </c>
      <c r="AA31" s="14"/>
      <c r="AB31" s="14"/>
      <c r="AC31" s="34"/>
      <c r="AD31" s="34"/>
      <c r="AE31" s="14">
        <v>20</v>
      </c>
      <c r="AF31" s="14"/>
      <c r="AG31" s="14">
        <v>20</v>
      </c>
      <c r="AH31" s="14"/>
      <c r="AI31" s="14"/>
      <c r="AJ31" s="34"/>
      <c r="AK31" s="34"/>
    </row>
    <row r="32" spans="1:40" ht="19.95" customHeight="1" x14ac:dyDescent="0.3">
      <c r="A32" s="1">
        <v>45</v>
      </c>
      <c r="B32" s="2" t="s">
        <v>5</v>
      </c>
      <c r="C32" s="24"/>
      <c r="D32" s="6" t="s">
        <v>30</v>
      </c>
      <c r="E32" s="8">
        <f t="shared" si="3"/>
        <v>-160</v>
      </c>
      <c r="F32" s="12">
        <f t="shared" si="1"/>
        <v>160</v>
      </c>
      <c r="G32" s="14"/>
      <c r="H32" s="34"/>
      <c r="I32" s="34"/>
      <c r="J32" s="14">
        <v>20</v>
      </c>
      <c r="K32" s="22"/>
      <c r="L32" s="22">
        <v>20</v>
      </c>
      <c r="M32" s="14"/>
      <c r="N32" s="14"/>
      <c r="O32" s="34"/>
      <c r="P32" s="34"/>
      <c r="Q32" s="14">
        <v>20</v>
      </c>
      <c r="R32" s="14"/>
      <c r="S32" s="14">
        <v>20</v>
      </c>
      <c r="T32" s="14"/>
      <c r="U32" s="14"/>
      <c r="V32" s="34"/>
      <c r="W32" s="34"/>
      <c r="X32" s="14">
        <v>20</v>
      </c>
      <c r="Y32" s="14"/>
      <c r="Z32" s="14">
        <v>20</v>
      </c>
      <c r="AA32" s="14"/>
      <c r="AB32" s="14"/>
      <c r="AC32" s="34"/>
      <c r="AD32" s="34"/>
      <c r="AE32" s="14">
        <v>20</v>
      </c>
      <c r="AF32" s="14"/>
      <c r="AG32" s="14">
        <v>20</v>
      </c>
      <c r="AH32" s="14"/>
      <c r="AI32" s="14"/>
      <c r="AJ32" s="34"/>
      <c r="AK32" s="34"/>
    </row>
    <row r="33" spans="1:37" ht="19.95" customHeight="1" x14ac:dyDescent="0.3">
      <c r="A33" s="1">
        <v>21</v>
      </c>
      <c r="B33" s="2" t="s">
        <v>3</v>
      </c>
      <c r="C33" s="24"/>
      <c r="D33" s="6" t="s">
        <v>8</v>
      </c>
      <c r="E33" s="8">
        <f t="shared" si="3"/>
        <v>-600</v>
      </c>
      <c r="F33" s="12">
        <f t="shared" si="1"/>
        <v>600</v>
      </c>
      <c r="G33" s="14">
        <v>30</v>
      </c>
      <c r="H33" s="34"/>
      <c r="I33" s="34"/>
      <c r="J33" s="14">
        <v>30</v>
      </c>
      <c r="K33" s="14">
        <v>30</v>
      </c>
      <c r="L33" s="14">
        <v>30</v>
      </c>
      <c r="M33" s="14">
        <v>30</v>
      </c>
      <c r="N33" s="14">
        <v>30</v>
      </c>
      <c r="O33" s="34"/>
      <c r="P33" s="34"/>
      <c r="Q33" s="14">
        <v>30</v>
      </c>
      <c r="R33" s="14">
        <v>30</v>
      </c>
      <c r="S33" s="14">
        <v>30</v>
      </c>
      <c r="T33" s="14">
        <v>30</v>
      </c>
      <c r="U33" s="14">
        <v>30</v>
      </c>
      <c r="V33" s="34"/>
      <c r="W33" s="34"/>
      <c r="X33" s="14">
        <v>30</v>
      </c>
      <c r="Y33" s="14">
        <v>30</v>
      </c>
      <c r="Z33" s="14">
        <v>30</v>
      </c>
      <c r="AA33" s="14">
        <v>30</v>
      </c>
      <c r="AB33" s="14">
        <v>30</v>
      </c>
      <c r="AC33" s="34"/>
      <c r="AD33" s="34"/>
      <c r="AE33" s="14">
        <v>30</v>
      </c>
      <c r="AF33" s="14"/>
      <c r="AG33" s="14">
        <v>30</v>
      </c>
      <c r="AH33" s="14">
        <v>30</v>
      </c>
      <c r="AI33" s="14">
        <v>30</v>
      </c>
      <c r="AJ33" s="34"/>
      <c r="AK33" s="34"/>
    </row>
    <row r="34" spans="1:37" ht="19.95" customHeight="1" x14ac:dyDescent="0.3">
      <c r="A34" s="1">
        <v>22</v>
      </c>
      <c r="B34" s="2" t="s">
        <v>2</v>
      </c>
      <c r="C34" s="24"/>
      <c r="D34" s="6" t="s">
        <v>8</v>
      </c>
      <c r="E34" s="8">
        <f t="shared" si="3"/>
        <v>-600</v>
      </c>
      <c r="F34" s="12">
        <f t="shared" si="1"/>
        <v>600</v>
      </c>
      <c r="G34" s="14">
        <v>30</v>
      </c>
      <c r="H34" s="34"/>
      <c r="I34" s="34"/>
      <c r="J34" s="14">
        <v>30</v>
      </c>
      <c r="K34" s="14">
        <v>30</v>
      </c>
      <c r="L34" s="14">
        <v>30</v>
      </c>
      <c r="M34" s="14">
        <v>30</v>
      </c>
      <c r="N34" s="14">
        <v>30</v>
      </c>
      <c r="O34" s="34"/>
      <c r="P34" s="34"/>
      <c r="Q34" s="14">
        <v>30</v>
      </c>
      <c r="R34" s="14">
        <v>30</v>
      </c>
      <c r="S34" s="14">
        <v>30</v>
      </c>
      <c r="T34" s="14">
        <v>30</v>
      </c>
      <c r="U34" s="14">
        <v>30</v>
      </c>
      <c r="V34" s="34"/>
      <c r="W34" s="34"/>
      <c r="X34" s="14">
        <v>30</v>
      </c>
      <c r="Y34" s="14">
        <v>30</v>
      </c>
      <c r="Z34" s="14">
        <v>30</v>
      </c>
      <c r="AA34" s="14">
        <v>30</v>
      </c>
      <c r="AB34" s="14">
        <v>30</v>
      </c>
      <c r="AC34" s="34"/>
      <c r="AD34" s="34"/>
      <c r="AE34" s="14">
        <v>30</v>
      </c>
      <c r="AF34" s="14"/>
      <c r="AG34" s="14">
        <v>30</v>
      </c>
      <c r="AH34" s="14">
        <v>30</v>
      </c>
      <c r="AI34" s="14">
        <v>30</v>
      </c>
      <c r="AJ34" s="34"/>
      <c r="AK34" s="34"/>
    </row>
    <row r="35" spans="1:37" ht="19.95" customHeight="1" x14ac:dyDescent="0.3">
      <c r="A35" s="1">
        <v>23</v>
      </c>
      <c r="B35" s="35" t="s">
        <v>32</v>
      </c>
      <c r="C35" s="35"/>
      <c r="D35" s="18" t="s">
        <v>33</v>
      </c>
      <c r="E35" s="18">
        <f t="shared" si="3"/>
        <v>0</v>
      </c>
      <c r="F35" s="12">
        <f t="shared" si="1"/>
        <v>0</v>
      </c>
      <c r="G35" s="14"/>
      <c r="H35" s="34"/>
      <c r="I35" s="34"/>
      <c r="J35" s="14"/>
      <c r="K35" s="22"/>
      <c r="L35" s="22"/>
      <c r="M35" s="14"/>
      <c r="N35" s="14"/>
      <c r="O35" s="34"/>
      <c r="P35" s="34"/>
      <c r="Q35" s="14"/>
      <c r="R35" s="14"/>
      <c r="S35" s="14"/>
      <c r="T35" s="14"/>
      <c r="U35" s="14"/>
      <c r="V35" s="34"/>
      <c r="W35" s="34"/>
      <c r="X35" s="14"/>
      <c r="Y35" s="14"/>
      <c r="Z35" s="14"/>
      <c r="AA35" s="14"/>
      <c r="AB35" s="14"/>
      <c r="AC35" s="34"/>
      <c r="AD35" s="34"/>
      <c r="AE35" s="14"/>
      <c r="AF35" s="14"/>
      <c r="AG35" s="14"/>
      <c r="AH35" s="14"/>
      <c r="AI35" s="14"/>
      <c r="AJ35" s="34"/>
      <c r="AK35" s="34"/>
    </row>
    <row r="36" spans="1:37" ht="19.95" customHeight="1" x14ac:dyDescent="0.3">
      <c r="A36" s="1"/>
      <c r="B36" s="23" t="s">
        <v>42</v>
      </c>
      <c r="C36" s="25"/>
      <c r="D36" s="9" t="s">
        <v>7</v>
      </c>
      <c r="E36" s="8"/>
      <c r="F36" s="12">
        <f t="shared" si="1"/>
        <v>330</v>
      </c>
      <c r="G36" s="14">
        <v>16</v>
      </c>
      <c r="H36" s="34"/>
      <c r="I36" s="34"/>
      <c r="J36" s="14">
        <v>18</v>
      </c>
      <c r="K36" s="22">
        <v>17</v>
      </c>
      <c r="L36" s="22">
        <v>16</v>
      </c>
      <c r="M36" s="14">
        <v>16</v>
      </c>
      <c r="N36" s="14">
        <v>17</v>
      </c>
      <c r="O36" s="34"/>
      <c r="P36" s="34"/>
      <c r="Q36" s="14">
        <v>16</v>
      </c>
      <c r="R36" s="14"/>
      <c r="S36" s="14">
        <v>16</v>
      </c>
      <c r="T36" s="14">
        <v>17</v>
      </c>
      <c r="U36" s="14">
        <v>16</v>
      </c>
      <c r="V36" s="34"/>
      <c r="W36" s="34"/>
      <c r="X36" s="14">
        <v>17</v>
      </c>
      <c r="Y36" s="14">
        <v>17</v>
      </c>
      <c r="Z36" s="14">
        <v>17</v>
      </c>
      <c r="AA36" s="14">
        <v>16</v>
      </c>
      <c r="AB36" s="14">
        <v>16</v>
      </c>
      <c r="AC36" s="34"/>
      <c r="AD36" s="34"/>
      <c r="AE36" s="14">
        <v>17</v>
      </c>
      <c r="AF36" s="14">
        <v>17</v>
      </c>
      <c r="AG36" s="14">
        <v>16</v>
      </c>
      <c r="AH36" s="14">
        <v>16</v>
      </c>
      <c r="AI36" s="14">
        <v>16</v>
      </c>
      <c r="AJ36" s="34"/>
      <c r="AK36" s="34"/>
    </row>
    <row r="37" spans="1:37" ht="19.95" customHeight="1" x14ac:dyDescent="0.3">
      <c r="A37" s="1"/>
      <c r="B37" s="2" t="s">
        <v>37</v>
      </c>
      <c r="C37" s="25"/>
      <c r="D37" s="9" t="s">
        <v>7</v>
      </c>
      <c r="E37" s="8"/>
      <c r="F37" s="12">
        <f t="shared" si="1"/>
        <v>530</v>
      </c>
      <c r="G37" s="14">
        <v>30</v>
      </c>
      <c r="H37" s="34"/>
      <c r="I37" s="34"/>
      <c r="J37" s="14">
        <v>40</v>
      </c>
      <c r="K37" s="22"/>
      <c r="L37" s="22">
        <v>50</v>
      </c>
      <c r="M37" s="14"/>
      <c r="N37" s="14">
        <v>40</v>
      </c>
      <c r="O37" s="34"/>
      <c r="P37" s="34"/>
      <c r="Q37" s="14">
        <v>50</v>
      </c>
      <c r="R37" s="14"/>
      <c r="S37" s="14">
        <v>40</v>
      </c>
      <c r="T37" s="14"/>
      <c r="U37" s="14">
        <v>40</v>
      </c>
      <c r="V37" s="34"/>
      <c r="W37" s="34"/>
      <c r="X37" s="14">
        <v>40</v>
      </c>
      <c r="Y37" s="14"/>
      <c r="Z37" s="14">
        <v>40</v>
      </c>
      <c r="AA37" s="14"/>
      <c r="AB37" s="14">
        <v>40</v>
      </c>
      <c r="AC37" s="34"/>
      <c r="AD37" s="34"/>
      <c r="AE37" s="14">
        <v>40</v>
      </c>
      <c r="AF37" s="14"/>
      <c r="AG37" s="14">
        <v>40</v>
      </c>
      <c r="AH37" s="14"/>
      <c r="AI37" s="14">
        <v>40</v>
      </c>
      <c r="AJ37" s="34"/>
      <c r="AK37" s="34"/>
    </row>
    <row r="38" spans="1:37" ht="19.95" customHeight="1" x14ac:dyDescent="0.3">
      <c r="A38" s="1"/>
      <c r="B38" s="2" t="s">
        <v>38</v>
      </c>
      <c r="C38" s="25"/>
      <c r="D38" s="9" t="s">
        <v>7</v>
      </c>
      <c r="E38" s="8"/>
      <c r="F38" s="12">
        <f t="shared" si="1"/>
        <v>120</v>
      </c>
      <c r="G38" s="14"/>
      <c r="H38" s="34"/>
      <c r="I38" s="34"/>
      <c r="J38" s="14">
        <v>15</v>
      </c>
      <c r="K38" s="22"/>
      <c r="L38" s="22">
        <v>15</v>
      </c>
      <c r="M38" s="14"/>
      <c r="N38" s="14"/>
      <c r="O38" s="34"/>
      <c r="P38" s="34"/>
      <c r="Q38" s="14">
        <v>15</v>
      </c>
      <c r="R38" s="14"/>
      <c r="S38" s="14">
        <v>15</v>
      </c>
      <c r="T38" s="14"/>
      <c r="U38" s="14"/>
      <c r="V38" s="34"/>
      <c r="W38" s="34"/>
      <c r="X38" s="14">
        <v>15</v>
      </c>
      <c r="Y38" s="14"/>
      <c r="Z38" s="14">
        <v>15</v>
      </c>
      <c r="AA38" s="14"/>
      <c r="AB38" s="14"/>
      <c r="AC38" s="34"/>
      <c r="AD38" s="34"/>
      <c r="AE38" s="14">
        <v>15</v>
      </c>
      <c r="AF38" s="14"/>
      <c r="AG38" s="14">
        <v>15</v>
      </c>
      <c r="AH38" s="14"/>
      <c r="AI38" s="14"/>
      <c r="AJ38" s="34"/>
      <c r="AK38" s="34"/>
    </row>
    <row r="39" spans="1:37" ht="19.95" customHeight="1" x14ac:dyDescent="0.3">
      <c r="A39" s="1"/>
      <c r="B39" s="2" t="s">
        <v>40</v>
      </c>
      <c r="C39" s="25"/>
      <c r="D39" s="9" t="s">
        <v>7</v>
      </c>
      <c r="E39" s="8"/>
      <c r="F39" s="12">
        <f t="shared" si="1"/>
        <v>120</v>
      </c>
      <c r="G39" s="14"/>
      <c r="H39" s="34"/>
      <c r="I39" s="34"/>
      <c r="J39" s="14">
        <v>15</v>
      </c>
      <c r="K39" s="22"/>
      <c r="L39" s="22">
        <v>15</v>
      </c>
      <c r="M39" s="14"/>
      <c r="N39" s="14"/>
      <c r="O39" s="34"/>
      <c r="P39" s="34"/>
      <c r="Q39" s="14">
        <v>15</v>
      </c>
      <c r="R39" s="14"/>
      <c r="S39" s="14">
        <v>15</v>
      </c>
      <c r="T39" s="14"/>
      <c r="U39" s="14"/>
      <c r="V39" s="34"/>
      <c r="W39" s="34"/>
      <c r="X39" s="14">
        <v>15</v>
      </c>
      <c r="Y39" s="14"/>
      <c r="Z39" s="14">
        <v>15</v>
      </c>
      <c r="AA39" s="14"/>
      <c r="AB39" s="14"/>
      <c r="AC39" s="34"/>
      <c r="AD39" s="34"/>
      <c r="AE39" s="14">
        <v>15</v>
      </c>
      <c r="AF39" s="14"/>
      <c r="AG39" s="14">
        <v>15</v>
      </c>
      <c r="AH39" s="14"/>
      <c r="AI39" s="14"/>
      <c r="AJ39" s="34"/>
      <c r="AK39" s="34"/>
    </row>
    <row r="40" spans="1:37" ht="19.95" customHeight="1" x14ac:dyDescent="0.3">
      <c r="A40" s="1"/>
      <c r="B40" s="2" t="s">
        <v>39</v>
      </c>
      <c r="C40" s="25"/>
      <c r="D40" s="9" t="s">
        <v>7</v>
      </c>
      <c r="E40" s="8"/>
      <c r="F40" s="12">
        <f t="shared" si="1"/>
        <v>120</v>
      </c>
      <c r="G40" s="14"/>
      <c r="H40" s="34"/>
      <c r="I40" s="34"/>
      <c r="J40" s="14">
        <v>15</v>
      </c>
      <c r="K40" s="22"/>
      <c r="L40" s="22">
        <v>15</v>
      </c>
      <c r="M40" s="14"/>
      <c r="N40" s="14"/>
      <c r="O40" s="34"/>
      <c r="P40" s="34"/>
      <c r="Q40" s="14">
        <v>15</v>
      </c>
      <c r="R40" s="14"/>
      <c r="S40" s="14">
        <v>15</v>
      </c>
      <c r="T40" s="14"/>
      <c r="U40" s="14"/>
      <c r="V40" s="34"/>
      <c r="W40" s="34"/>
      <c r="X40" s="14">
        <v>15</v>
      </c>
      <c r="Y40" s="14"/>
      <c r="Z40" s="14">
        <v>15</v>
      </c>
      <c r="AA40" s="14"/>
      <c r="AB40" s="14"/>
      <c r="AC40" s="34"/>
      <c r="AD40" s="34"/>
      <c r="AE40" s="14">
        <v>15</v>
      </c>
      <c r="AF40" s="14"/>
      <c r="AG40" s="14">
        <v>15</v>
      </c>
      <c r="AH40" s="14"/>
      <c r="AI40" s="14"/>
      <c r="AJ40" s="34"/>
      <c r="AK40" s="34"/>
    </row>
  </sheetData>
  <mergeCells count="2">
    <mergeCell ref="C1:AK1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193E-DE2D-4B8D-B4D6-09BBF7C1AEE7}">
  <dimension ref="A1:AP40"/>
  <sheetViews>
    <sheetView topLeftCell="N1" zoomScale="50" zoomScaleNormal="50" workbookViewId="0">
      <selection activeCell="AJ12" sqref="AJ12"/>
    </sheetView>
  </sheetViews>
  <sheetFormatPr defaultRowHeight="14.4" x14ac:dyDescent="0.3"/>
  <cols>
    <col min="1" max="1" width="13.5546875" customWidth="1"/>
    <col min="2" max="2" width="39.21875" customWidth="1"/>
    <col min="3" max="3" width="15.77734375" customWidth="1"/>
    <col min="4" max="4" width="11.44140625" customWidth="1"/>
    <col min="5" max="5" width="17" customWidth="1"/>
    <col min="6" max="6" width="13.5546875" customWidth="1"/>
    <col min="7" max="9" width="8.88671875" customWidth="1"/>
    <col min="38" max="38" width="5" customWidth="1"/>
    <col min="39" max="39" width="25.77734375" customWidth="1"/>
    <col min="42" max="42" width="34.21875" customWidth="1"/>
  </cols>
  <sheetData>
    <row r="1" spans="1:42" ht="32.4" customHeight="1" x14ac:dyDescent="0.3">
      <c r="A1" s="4" t="s">
        <v>6</v>
      </c>
      <c r="B1" s="16" t="s">
        <v>54</v>
      </c>
      <c r="C1" s="50" t="s">
        <v>31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</row>
    <row r="2" spans="1:42" ht="28.8" x14ac:dyDescent="0.3">
      <c r="A2" s="3" t="s">
        <v>0</v>
      </c>
      <c r="B2" s="3" t="s">
        <v>12</v>
      </c>
      <c r="C2" s="24" t="s">
        <v>1</v>
      </c>
      <c r="D2" s="5" t="s">
        <v>11</v>
      </c>
      <c r="E2" s="7" t="s">
        <v>9</v>
      </c>
      <c r="F2" s="11" t="s">
        <v>10</v>
      </c>
      <c r="G2" s="15">
        <v>46054</v>
      </c>
      <c r="H2" s="15">
        <v>46055</v>
      </c>
      <c r="I2" s="15">
        <v>46056</v>
      </c>
      <c r="J2" s="15">
        <v>46057</v>
      </c>
      <c r="K2" s="15">
        <v>46058</v>
      </c>
      <c r="L2" s="37">
        <v>46059</v>
      </c>
      <c r="M2" s="37">
        <v>46060</v>
      </c>
      <c r="N2" s="15">
        <v>46061</v>
      </c>
      <c r="O2" s="15">
        <v>46062</v>
      </c>
      <c r="P2" s="15">
        <v>46063</v>
      </c>
      <c r="Q2" s="15">
        <v>46064</v>
      </c>
      <c r="R2" s="15">
        <v>46065</v>
      </c>
      <c r="S2" s="37">
        <v>46066</v>
      </c>
      <c r="T2" s="37">
        <v>46067</v>
      </c>
      <c r="U2" s="15">
        <v>46068</v>
      </c>
      <c r="V2" s="15">
        <v>46069</v>
      </c>
      <c r="W2" s="15">
        <v>46070</v>
      </c>
      <c r="X2" s="15">
        <v>46071</v>
      </c>
      <c r="Y2" s="15">
        <v>46072</v>
      </c>
      <c r="Z2" s="37">
        <v>46073</v>
      </c>
      <c r="AA2" s="37">
        <v>46074</v>
      </c>
      <c r="AB2" s="15">
        <v>46075</v>
      </c>
      <c r="AC2" s="15">
        <v>46076</v>
      </c>
      <c r="AD2" s="15">
        <v>46077</v>
      </c>
      <c r="AE2" s="15">
        <v>46078</v>
      </c>
      <c r="AF2" s="15">
        <v>46079</v>
      </c>
      <c r="AG2" s="37">
        <v>46080</v>
      </c>
      <c r="AH2" s="37">
        <v>46081</v>
      </c>
      <c r="AI2" s="15"/>
      <c r="AJ2" s="15"/>
      <c r="AK2" s="15"/>
      <c r="AL2" s="15"/>
    </row>
    <row r="3" spans="1:42" ht="19.95" customHeight="1" x14ac:dyDescent="0.3">
      <c r="A3" s="1">
        <v>1</v>
      </c>
      <c r="B3" s="2" t="s">
        <v>13</v>
      </c>
      <c r="C3" s="24">
        <v>13090</v>
      </c>
      <c r="D3" s="6" t="s">
        <v>29</v>
      </c>
      <c r="E3" s="8">
        <f>C3-F3</f>
        <v>1482</v>
      </c>
      <c r="F3" s="12">
        <f t="shared" ref="F3:F18" si="0">AK3+AJ3+AI3+AH3+AG3+AF3+AE3+AD3+AC3+AB3+AA3+Z3+Y3+X3+W3+V3+U3+T3+S3+R3+Q3+P3+O3+N3+M3+L3+K3+J3+I3+H3+G3</f>
        <v>11608</v>
      </c>
      <c r="G3" s="14">
        <v>911</v>
      </c>
      <c r="H3" s="14">
        <v>855</v>
      </c>
      <c r="I3" s="14">
        <v>909</v>
      </c>
      <c r="J3" s="14">
        <v>896</v>
      </c>
      <c r="K3" s="22">
        <v>936</v>
      </c>
      <c r="L3" s="38"/>
      <c r="M3" s="39"/>
      <c r="N3" s="14">
        <v>833</v>
      </c>
      <c r="O3" s="14">
        <v>870</v>
      </c>
      <c r="P3" s="14">
        <v>883</v>
      </c>
      <c r="Q3" s="14">
        <v>884</v>
      </c>
      <c r="R3" s="14">
        <v>866</v>
      </c>
      <c r="S3" s="39"/>
      <c r="T3" s="39"/>
      <c r="U3" s="14">
        <v>937</v>
      </c>
      <c r="V3" s="14">
        <v>900</v>
      </c>
      <c r="W3" s="14">
        <v>928</v>
      </c>
      <c r="X3" s="14"/>
      <c r="Y3" s="14"/>
      <c r="Z3" s="39"/>
      <c r="AA3" s="39"/>
      <c r="AB3" s="14"/>
      <c r="AC3" s="14"/>
      <c r="AD3" s="14"/>
      <c r="AE3" s="14"/>
      <c r="AF3" s="14"/>
      <c r="AG3" s="39"/>
      <c r="AH3" s="39"/>
      <c r="AI3" s="14"/>
      <c r="AJ3" s="14"/>
      <c r="AK3" s="14"/>
      <c r="AM3" s="19">
        <f>F3*11.99</f>
        <v>139179.92000000001</v>
      </c>
    </row>
    <row r="4" spans="1:42" ht="19.95" customHeight="1" x14ac:dyDescent="0.3">
      <c r="A4" s="1">
        <v>2</v>
      </c>
      <c r="B4" s="2" t="s">
        <v>16</v>
      </c>
      <c r="C4" s="24">
        <v>7490</v>
      </c>
      <c r="D4" s="6" t="s">
        <v>28</v>
      </c>
      <c r="E4" s="8">
        <f t="shared" ref="E4:E17" si="1">C4-F4</f>
        <v>944</v>
      </c>
      <c r="F4" s="12">
        <f t="shared" si="0"/>
        <v>6546</v>
      </c>
      <c r="G4" s="14">
        <v>470</v>
      </c>
      <c r="H4" s="14">
        <v>495</v>
      </c>
      <c r="I4" s="14">
        <v>481</v>
      </c>
      <c r="J4" s="14">
        <v>508</v>
      </c>
      <c r="K4" s="22">
        <v>462</v>
      </c>
      <c r="L4" s="38"/>
      <c r="M4" s="39"/>
      <c r="N4" s="14">
        <v>520</v>
      </c>
      <c r="O4" s="14">
        <v>491</v>
      </c>
      <c r="P4" s="14">
        <v>489</v>
      </c>
      <c r="Q4" s="14">
        <v>507</v>
      </c>
      <c r="R4" s="14">
        <v>480</v>
      </c>
      <c r="S4" s="39"/>
      <c r="T4" s="39"/>
      <c r="U4" s="14">
        <v>533</v>
      </c>
      <c r="V4" s="14">
        <v>550</v>
      </c>
      <c r="W4" s="14">
        <v>560</v>
      </c>
      <c r="X4" s="14"/>
      <c r="Y4" s="14"/>
      <c r="Z4" s="39"/>
      <c r="AA4" s="39"/>
      <c r="AB4" s="14"/>
      <c r="AC4" s="14"/>
      <c r="AD4" s="14"/>
      <c r="AE4" s="14"/>
      <c r="AF4" s="14"/>
      <c r="AG4" s="39"/>
      <c r="AH4" s="39"/>
      <c r="AI4" s="14"/>
      <c r="AJ4" s="14"/>
      <c r="AK4" s="14"/>
      <c r="AM4" s="19">
        <f>F4*16.1</f>
        <v>105390.6</v>
      </c>
    </row>
    <row r="5" spans="1:42" ht="19.95" customHeight="1" x14ac:dyDescent="0.3">
      <c r="A5" s="1">
        <v>3</v>
      </c>
      <c r="B5" s="2" t="s">
        <v>15</v>
      </c>
      <c r="C5" s="24">
        <v>1400</v>
      </c>
      <c r="D5" s="6" t="s">
        <v>27</v>
      </c>
      <c r="E5" s="8">
        <f t="shared" si="1"/>
        <v>3</v>
      </c>
      <c r="F5" s="12">
        <f t="shared" si="0"/>
        <v>1397</v>
      </c>
      <c r="G5" s="14">
        <v>103</v>
      </c>
      <c r="H5" s="14">
        <v>102</v>
      </c>
      <c r="I5" s="14">
        <v>100</v>
      </c>
      <c r="J5" s="14">
        <v>101</v>
      </c>
      <c r="K5" s="22">
        <v>104</v>
      </c>
      <c r="L5" s="38"/>
      <c r="M5" s="39"/>
      <c r="N5" s="14">
        <v>105</v>
      </c>
      <c r="O5" s="14">
        <v>102</v>
      </c>
      <c r="P5" s="14">
        <v>106</v>
      </c>
      <c r="Q5" s="14">
        <v>105</v>
      </c>
      <c r="R5" s="14">
        <v>111</v>
      </c>
      <c r="S5" s="39"/>
      <c r="T5" s="39"/>
      <c r="U5" s="14">
        <v>118</v>
      </c>
      <c r="V5" s="14">
        <v>120</v>
      </c>
      <c r="W5" s="14">
        <v>120</v>
      </c>
      <c r="X5" s="14"/>
      <c r="Y5" s="14"/>
      <c r="Z5" s="39"/>
      <c r="AA5" s="39"/>
      <c r="AB5" s="14"/>
      <c r="AC5" s="14"/>
      <c r="AD5" s="14"/>
      <c r="AE5" s="14"/>
      <c r="AF5" s="14"/>
      <c r="AG5" s="39"/>
      <c r="AH5" s="39"/>
      <c r="AI5" s="14"/>
      <c r="AJ5" s="14"/>
      <c r="AK5" s="14"/>
      <c r="AM5" s="19">
        <f>F5*18.4</f>
        <v>25704.799999999999</v>
      </c>
    </row>
    <row r="6" spans="1:42" ht="19.95" customHeight="1" x14ac:dyDescent="0.3">
      <c r="A6" s="1">
        <v>4</v>
      </c>
      <c r="B6" s="2" t="s">
        <v>14</v>
      </c>
      <c r="C6" s="24">
        <v>2142</v>
      </c>
      <c r="D6" s="6" t="s">
        <v>27</v>
      </c>
      <c r="E6" s="8">
        <f t="shared" si="1"/>
        <v>160</v>
      </c>
      <c r="F6" s="12">
        <f t="shared" si="0"/>
        <v>1982</v>
      </c>
      <c r="G6" s="14">
        <v>149</v>
      </c>
      <c r="H6" s="14">
        <v>156</v>
      </c>
      <c r="I6" s="14">
        <v>153</v>
      </c>
      <c r="J6" s="14">
        <v>153</v>
      </c>
      <c r="K6" s="22">
        <v>153</v>
      </c>
      <c r="L6" s="38"/>
      <c r="M6" s="39"/>
      <c r="N6" s="14">
        <v>153</v>
      </c>
      <c r="O6" s="14">
        <v>147</v>
      </c>
      <c r="P6" s="14">
        <v>150</v>
      </c>
      <c r="Q6" s="14">
        <v>150</v>
      </c>
      <c r="R6" s="14">
        <v>141</v>
      </c>
      <c r="S6" s="39"/>
      <c r="T6" s="39"/>
      <c r="U6" s="14">
        <v>178</v>
      </c>
      <c r="V6" s="14">
        <v>150</v>
      </c>
      <c r="W6" s="14">
        <v>149</v>
      </c>
      <c r="X6" s="14"/>
      <c r="Y6" s="14"/>
      <c r="Z6" s="39"/>
      <c r="AA6" s="39"/>
      <c r="AB6" s="14"/>
      <c r="AC6" s="14"/>
      <c r="AD6" s="14"/>
      <c r="AE6" s="14"/>
      <c r="AF6" s="14"/>
      <c r="AG6" s="39"/>
      <c r="AH6" s="39"/>
      <c r="AI6" s="14"/>
      <c r="AJ6" s="14"/>
      <c r="AK6" s="14"/>
      <c r="AM6" s="19">
        <f>F6*18.4</f>
        <v>36468.799999999996</v>
      </c>
    </row>
    <row r="7" spans="1:42" ht="19.95" customHeight="1" x14ac:dyDescent="0.3">
      <c r="A7" s="1">
        <v>5</v>
      </c>
      <c r="B7" s="2" t="s">
        <v>17</v>
      </c>
      <c r="C7" s="24">
        <v>11438</v>
      </c>
      <c r="D7" s="6" t="s">
        <v>29</v>
      </c>
      <c r="E7" s="8">
        <f t="shared" si="1"/>
        <v>952</v>
      </c>
      <c r="F7" s="12">
        <f t="shared" si="0"/>
        <v>10486</v>
      </c>
      <c r="G7" s="14">
        <v>785</v>
      </c>
      <c r="H7" s="14">
        <v>789</v>
      </c>
      <c r="I7" s="14">
        <v>786</v>
      </c>
      <c r="J7" s="14">
        <v>798</v>
      </c>
      <c r="K7" s="22">
        <v>786</v>
      </c>
      <c r="L7" s="38"/>
      <c r="M7" s="39"/>
      <c r="N7" s="14">
        <v>819</v>
      </c>
      <c r="O7" s="14">
        <v>767</v>
      </c>
      <c r="P7" s="14">
        <v>795</v>
      </c>
      <c r="Q7" s="14">
        <v>800</v>
      </c>
      <c r="R7" s="14">
        <v>757</v>
      </c>
      <c r="S7" s="39"/>
      <c r="T7" s="39"/>
      <c r="U7" s="14">
        <v>858</v>
      </c>
      <c r="V7" s="14">
        <v>878</v>
      </c>
      <c r="W7" s="14">
        <v>868</v>
      </c>
      <c r="X7" s="14"/>
      <c r="Y7" s="14"/>
      <c r="Z7" s="39"/>
      <c r="AA7" s="39"/>
      <c r="AB7" s="14"/>
      <c r="AC7" s="14"/>
      <c r="AD7" s="14"/>
      <c r="AE7" s="14"/>
      <c r="AF7" s="14"/>
      <c r="AG7" s="39"/>
      <c r="AH7" s="39"/>
      <c r="AI7" s="14"/>
      <c r="AJ7" s="14"/>
      <c r="AK7" s="14"/>
      <c r="AM7" s="19">
        <f>F7*18.4</f>
        <v>192942.4</v>
      </c>
    </row>
    <row r="8" spans="1:42" ht="19.95" customHeight="1" x14ac:dyDescent="0.3">
      <c r="A8" s="1">
        <v>6</v>
      </c>
      <c r="B8" s="2" t="s">
        <v>19</v>
      </c>
      <c r="C8" s="24">
        <v>7600</v>
      </c>
      <c r="D8" s="6" t="s">
        <v>28</v>
      </c>
      <c r="E8" s="8">
        <f t="shared" si="1"/>
        <v>-6</v>
      </c>
      <c r="F8" s="12">
        <f t="shared" si="0"/>
        <v>7606</v>
      </c>
      <c r="G8" s="14">
        <v>505</v>
      </c>
      <c r="H8" s="14">
        <v>500</v>
      </c>
      <c r="I8" s="14">
        <v>508</v>
      </c>
      <c r="J8" s="14">
        <v>512</v>
      </c>
      <c r="K8" s="22">
        <v>507</v>
      </c>
      <c r="L8" s="38"/>
      <c r="M8" s="39"/>
      <c r="N8" s="14">
        <v>560</v>
      </c>
      <c r="O8" s="14">
        <v>455</v>
      </c>
      <c r="P8" s="14">
        <v>400</v>
      </c>
      <c r="Q8" s="14">
        <v>511</v>
      </c>
      <c r="R8" s="14">
        <v>496</v>
      </c>
      <c r="S8" s="39"/>
      <c r="T8" s="39"/>
      <c r="U8" s="14">
        <v>546</v>
      </c>
      <c r="V8" s="14">
        <v>546</v>
      </c>
      <c r="W8" s="14">
        <v>481</v>
      </c>
      <c r="X8" s="40">
        <v>103</v>
      </c>
      <c r="Y8" s="40">
        <v>100</v>
      </c>
      <c r="Z8" s="39"/>
      <c r="AA8" s="39"/>
      <c r="AB8" s="40">
        <v>165</v>
      </c>
      <c r="AC8" s="40">
        <v>180</v>
      </c>
      <c r="AD8" s="40">
        <v>175</v>
      </c>
      <c r="AE8" s="40">
        <v>190</v>
      </c>
      <c r="AF8" s="40">
        <v>156</v>
      </c>
      <c r="AG8" s="40">
        <v>10</v>
      </c>
      <c r="AH8" s="39"/>
      <c r="AI8" s="14"/>
      <c r="AJ8" s="14"/>
      <c r="AK8" s="14"/>
      <c r="AM8" s="19">
        <f>F8*1.73</f>
        <v>13158.38</v>
      </c>
    </row>
    <row r="9" spans="1:42" ht="19.95" customHeight="1" x14ac:dyDescent="0.3">
      <c r="A9" s="1">
        <v>7</v>
      </c>
      <c r="B9" s="2" t="s">
        <v>41</v>
      </c>
      <c r="C9" s="24"/>
      <c r="D9" s="6" t="s">
        <v>28</v>
      </c>
      <c r="E9" s="8"/>
      <c r="F9" s="12">
        <f t="shared" si="0"/>
        <v>2724</v>
      </c>
      <c r="G9" s="14">
        <v>200</v>
      </c>
      <c r="H9" s="14">
        <v>200</v>
      </c>
      <c r="I9" s="14">
        <v>212</v>
      </c>
      <c r="J9" s="14">
        <v>206</v>
      </c>
      <c r="K9" s="22">
        <v>206</v>
      </c>
      <c r="L9" s="38"/>
      <c r="M9" s="39"/>
      <c r="N9" s="14">
        <v>206</v>
      </c>
      <c r="O9" s="14">
        <v>200</v>
      </c>
      <c r="P9" s="14">
        <v>200</v>
      </c>
      <c r="Q9" s="14">
        <v>200</v>
      </c>
      <c r="R9" s="14">
        <v>230</v>
      </c>
      <c r="S9" s="39"/>
      <c r="T9" s="39"/>
      <c r="U9" s="14">
        <v>198</v>
      </c>
      <c r="V9" s="14">
        <v>233</v>
      </c>
      <c r="W9" s="14">
        <v>233</v>
      </c>
      <c r="X9" s="14"/>
      <c r="Y9" s="14"/>
      <c r="Z9" s="39"/>
      <c r="AA9" s="39"/>
      <c r="AB9" s="14"/>
      <c r="AC9" s="14"/>
      <c r="AD9" s="14"/>
      <c r="AE9" s="14"/>
      <c r="AF9" s="14"/>
      <c r="AG9" s="39"/>
      <c r="AH9" s="39"/>
      <c r="AI9" s="14"/>
      <c r="AJ9" s="14"/>
      <c r="AK9" s="14"/>
      <c r="AM9" s="19">
        <f t="shared" ref="AM9:AM10" si="2">F9*1.73</f>
        <v>4712.5199999999995</v>
      </c>
    </row>
    <row r="10" spans="1:42" ht="19.95" customHeight="1" x14ac:dyDescent="0.3">
      <c r="A10" s="1">
        <v>8</v>
      </c>
      <c r="B10" s="2" t="s">
        <v>18</v>
      </c>
      <c r="C10" s="24">
        <v>6720</v>
      </c>
      <c r="D10" s="6" t="s">
        <v>29</v>
      </c>
      <c r="E10" s="8">
        <f t="shared" si="1"/>
        <v>2529</v>
      </c>
      <c r="F10" s="12">
        <f t="shared" si="0"/>
        <v>4191</v>
      </c>
      <c r="G10" s="14">
        <v>303</v>
      </c>
      <c r="H10" s="14">
        <v>301</v>
      </c>
      <c r="I10" s="14">
        <v>300</v>
      </c>
      <c r="J10" s="14">
        <v>309</v>
      </c>
      <c r="K10" s="22">
        <v>303</v>
      </c>
      <c r="L10" s="38"/>
      <c r="M10" s="39"/>
      <c r="N10" s="14">
        <v>308</v>
      </c>
      <c r="O10" s="14">
        <v>298</v>
      </c>
      <c r="P10" s="14">
        <v>299</v>
      </c>
      <c r="Q10" s="14">
        <v>306</v>
      </c>
      <c r="R10" s="14">
        <v>312</v>
      </c>
      <c r="S10" s="39"/>
      <c r="T10" s="39"/>
      <c r="U10" s="14">
        <v>386</v>
      </c>
      <c r="V10" s="14">
        <v>380</v>
      </c>
      <c r="W10" s="14">
        <v>386</v>
      </c>
      <c r="X10" s="14"/>
      <c r="Y10" s="14"/>
      <c r="Z10" s="39"/>
      <c r="AA10" s="39"/>
      <c r="AB10" s="14"/>
      <c r="AC10" s="14"/>
      <c r="AD10" s="14"/>
      <c r="AE10" s="14"/>
      <c r="AF10" s="14"/>
      <c r="AG10" s="39"/>
      <c r="AH10" s="39"/>
      <c r="AI10" s="14"/>
      <c r="AJ10" s="14"/>
      <c r="AK10" s="14"/>
      <c r="AM10" s="19">
        <f t="shared" si="2"/>
        <v>7250.43</v>
      </c>
    </row>
    <row r="11" spans="1:42" ht="19.95" customHeight="1" x14ac:dyDescent="0.3">
      <c r="A11" s="1">
        <v>9</v>
      </c>
      <c r="B11" s="2" t="s">
        <v>36</v>
      </c>
      <c r="C11" s="24">
        <v>6100</v>
      </c>
      <c r="D11" s="6" t="s">
        <v>28</v>
      </c>
      <c r="E11" s="8">
        <f t="shared" si="1"/>
        <v>1094</v>
      </c>
      <c r="F11" s="12">
        <f t="shared" si="0"/>
        <v>5006</v>
      </c>
      <c r="G11" s="14">
        <v>348</v>
      </c>
      <c r="H11" s="14">
        <v>357</v>
      </c>
      <c r="I11" s="14">
        <v>0</v>
      </c>
      <c r="J11" s="14">
        <v>389</v>
      </c>
      <c r="K11" s="22">
        <v>383</v>
      </c>
      <c r="L11" s="38"/>
      <c r="M11" s="39"/>
      <c r="N11" s="14">
        <v>363</v>
      </c>
      <c r="O11" s="14">
        <v>450</v>
      </c>
      <c r="P11" s="14">
        <v>0</v>
      </c>
      <c r="Q11" s="14">
        <v>550</v>
      </c>
      <c r="R11" s="14">
        <v>440</v>
      </c>
      <c r="S11" s="39"/>
      <c r="T11" s="39"/>
      <c r="U11" s="14">
        <v>437</v>
      </c>
      <c r="V11" s="14">
        <v>450</v>
      </c>
      <c r="W11" s="14">
        <v>0</v>
      </c>
      <c r="X11" s="40">
        <v>75</v>
      </c>
      <c r="Y11" s="40">
        <v>152</v>
      </c>
      <c r="Z11" s="39"/>
      <c r="AA11" s="39"/>
      <c r="AB11" s="40">
        <v>150</v>
      </c>
      <c r="AC11" s="40">
        <v>152</v>
      </c>
      <c r="AD11" s="40">
        <v>153</v>
      </c>
      <c r="AE11" s="40">
        <v>75</v>
      </c>
      <c r="AF11" s="40">
        <v>76</v>
      </c>
      <c r="AG11" s="40">
        <v>6</v>
      </c>
      <c r="AH11" s="39"/>
      <c r="AI11" s="14"/>
      <c r="AJ11" s="14"/>
      <c r="AK11" s="14"/>
      <c r="AM11" s="19">
        <f>F11*5.75</f>
        <v>28784.5</v>
      </c>
    </row>
    <row r="12" spans="1:42" ht="19.95" customHeight="1" x14ac:dyDescent="0.3">
      <c r="A12" s="1">
        <v>10</v>
      </c>
      <c r="B12" s="2" t="s">
        <v>20</v>
      </c>
      <c r="C12" s="24">
        <v>6100</v>
      </c>
      <c r="D12" s="6" t="s">
        <v>27</v>
      </c>
      <c r="E12" s="8">
        <f t="shared" si="1"/>
        <v>1619</v>
      </c>
      <c r="F12" s="12">
        <f t="shared" si="0"/>
        <v>4481</v>
      </c>
      <c r="G12" s="14">
        <v>404</v>
      </c>
      <c r="H12" s="14">
        <v>227</v>
      </c>
      <c r="I12" s="14">
        <v>0</v>
      </c>
      <c r="J12" s="14">
        <v>415</v>
      </c>
      <c r="K12" s="22">
        <v>418</v>
      </c>
      <c r="L12" s="38"/>
      <c r="M12" s="39"/>
      <c r="N12" s="14">
        <v>480</v>
      </c>
      <c r="O12" s="14">
        <v>401</v>
      </c>
      <c r="P12" s="14">
        <v>0</v>
      </c>
      <c r="Q12" s="14">
        <v>550</v>
      </c>
      <c r="R12" s="14">
        <v>440</v>
      </c>
      <c r="S12" s="39"/>
      <c r="T12" s="39"/>
      <c r="U12" s="14">
        <v>521</v>
      </c>
      <c r="V12" s="14">
        <v>450</v>
      </c>
      <c r="W12" s="14">
        <v>20</v>
      </c>
      <c r="X12" s="14"/>
      <c r="Y12" s="14"/>
      <c r="Z12" s="39"/>
      <c r="AA12" s="39"/>
      <c r="AB12" s="14"/>
      <c r="AC12" s="14"/>
      <c r="AD12" s="14"/>
      <c r="AE12" s="40">
        <v>80</v>
      </c>
      <c r="AF12" s="40">
        <v>75</v>
      </c>
      <c r="AG12" s="39"/>
      <c r="AH12" s="39"/>
      <c r="AI12" s="14"/>
      <c r="AJ12" s="14"/>
      <c r="AK12" s="14"/>
      <c r="AM12" s="19">
        <f>F12*5.75</f>
        <v>25765.75</v>
      </c>
      <c r="AP12" s="21"/>
    </row>
    <row r="13" spans="1:42" ht="19.95" customHeight="1" x14ac:dyDescent="0.3">
      <c r="A13" s="1">
        <v>11</v>
      </c>
      <c r="B13" s="2" t="s">
        <v>21</v>
      </c>
      <c r="C13" s="24">
        <v>3660</v>
      </c>
      <c r="D13" s="6" t="s">
        <v>27</v>
      </c>
      <c r="E13" s="8">
        <f t="shared" si="1"/>
        <v>-545</v>
      </c>
      <c r="F13" s="12">
        <f t="shared" si="0"/>
        <v>4205</v>
      </c>
      <c r="G13" s="14">
        <v>257</v>
      </c>
      <c r="H13" s="14">
        <v>225</v>
      </c>
      <c r="I13" s="14">
        <v>258</v>
      </c>
      <c r="J13" s="14">
        <v>254</v>
      </c>
      <c r="K13" s="22">
        <v>254</v>
      </c>
      <c r="L13" s="38"/>
      <c r="M13" s="39"/>
      <c r="N13" s="14">
        <v>242</v>
      </c>
      <c r="O13" s="14">
        <v>260</v>
      </c>
      <c r="P13" s="14">
        <v>213</v>
      </c>
      <c r="Q13" s="14">
        <v>252</v>
      </c>
      <c r="R13" s="14">
        <v>480</v>
      </c>
      <c r="S13" s="39"/>
      <c r="T13" s="39"/>
      <c r="U13" s="14">
        <v>231</v>
      </c>
      <c r="V13" s="14">
        <v>230</v>
      </c>
      <c r="W13" s="14">
        <v>352</v>
      </c>
      <c r="X13" s="40">
        <v>97</v>
      </c>
      <c r="Y13" s="40">
        <v>100</v>
      </c>
      <c r="Z13" s="39"/>
      <c r="AA13" s="39"/>
      <c r="AB13" s="40">
        <v>100</v>
      </c>
      <c r="AC13" s="40">
        <v>100</v>
      </c>
      <c r="AD13" s="40">
        <v>100</v>
      </c>
      <c r="AE13" s="40">
        <v>100</v>
      </c>
      <c r="AF13" s="40">
        <v>100</v>
      </c>
      <c r="AG13" s="39"/>
      <c r="AH13" s="39"/>
      <c r="AI13" s="14"/>
      <c r="AJ13" s="14"/>
      <c r="AK13" s="14"/>
      <c r="AM13" s="19">
        <f>F13*4.95</f>
        <v>20814.75</v>
      </c>
    </row>
    <row r="14" spans="1:42" ht="19.95" customHeight="1" x14ac:dyDescent="0.3">
      <c r="A14" s="1">
        <v>12</v>
      </c>
      <c r="B14" s="2" t="s">
        <v>34</v>
      </c>
      <c r="C14" s="24">
        <v>8680</v>
      </c>
      <c r="D14" s="6" t="s">
        <v>27</v>
      </c>
      <c r="E14" s="8">
        <f t="shared" si="1"/>
        <v>2567</v>
      </c>
      <c r="F14" s="12">
        <f t="shared" si="0"/>
        <v>6113</v>
      </c>
      <c r="G14" s="14">
        <v>487</v>
      </c>
      <c r="H14" s="14">
        <v>496</v>
      </c>
      <c r="I14" s="14">
        <v>497</v>
      </c>
      <c r="J14" s="14">
        <v>491</v>
      </c>
      <c r="K14" s="22">
        <v>464</v>
      </c>
      <c r="L14" s="38"/>
      <c r="M14" s="39"/>
      <c r="N14" s="14">
        <v>510</v>
      </c>
      <c r="O14" s="14">
        <v>464</v>
      </c>
      <c r="P14" s="14">
        <v>452</v>
      </c>
      <c r="Q14" s="14">
        <v>475</v>
      </c>
      <c r="R14" s="14">
        <v>267</v>
      </c>
      <c r="S14" s="39"/>
      <c r="T14" s="39"/>
      <c r="U14" s="14">
        <v>500</v>
      </c>
      <c r="V14" s="14">
        <v>507</v>
      </c>
      <c r="W14" s="14">
        <v>503</v>
      </c>
      <c r="X14" s="14"/>
      <c r="Y14" s="14"/>
      <c r="Z14" s="39"/>
      <c r="AA14" s="39"/>
      <c r="AB14" s="14"/>
      <c r="AC14" s="14"/>
      <c r="AD14" s="14"/>
      <c r="AE14" s="14"/>
      <c r="AF14" s="14"/>
      <c r="AG14" s="39"/>
      <c r="AH14" s="39"/>
      <c r="AI14" s="14"/>
      <c r="AJ14" s="14"/>
      <c r="AK14" s="14"/>
      <c r="AM14" s="19">
        <f>F14*1.75</f>
        <v>10697.75</v>
      </c>
    </row>
    <row r="15" spans="1:42" ht="19.95" customHeight="1" x14ac:dyDescent="0.3">
      <c r="A15" s="1">
        <v>13</v>
      </c>
      <c r="B15" s="2" t="s">
        <v>35</v>
      </c>
      <c r="C15" s="24">
        <v>2240</v>
      </c>
      <c r="D15" s="6" t="s">
        <v>28</v>
      </c>
      <c r="E15" s="8">
        <f t="shared" si="1"/>
        <v>174</v>
      </c>
      <c r="F15" s="12">
        <f t="shared" si="0"/>
        <v>2066</v>
      </c>
      <c r="G15" s="14">
        <v>160</v>
      </c>
      <c r="H15" s="14">
        <v>167</v>
      </c>
      <c r="I15" s="14">
        <v>160</v>
      </c>
      <c r="J15" s="14">
        <v>175</v>
      </c>
      <c r="K15" s="22">
        <v>183</v>
      </c>
      <c r="L15" s="38"/>
      <c r="M15" s="39"/>
      <c r="N15" s="14">
        <v>152</v>
      </c>
      <c r="O15" s="14">
        <v>0</v>
      </c>
      <c r="P15" s="14">
        <v>216</v>
      </c>
      <c r="Q15" s="14">
        <v>146</v>
      </c>
      <c r="R15" s="14">
        <v>164</v>
      </c>
      <c r="S15" s="39"/>
      <c r="T15" s="39"/>
      <c r="U15" s="14">
        <v>179</v>
      </c>
      <c r="V15" s="14">
        <v>180</v>
      </c>
      <c r="W15" s="14">
        <v>184</v>
      </c>
      <c r="X15" s="14"/>
      <c r="Y15" s="14"/>
      <c r="Z15" s="39"/>
      <c r="AA15" s="39"/>
      <c r="AB15" s="14"/>
      <c r="AC15" s="14"/>
      <c r="AD15" s="14"/>
      <c r="AE15" s="14"/>
      <c r="AF15" s="14"/>
      <c r="AG15" s="39"/>
      <c r="AH15" s="39"/>
      <c r="AI15" s="14"/>
      <c r="AJ15" s="14"/>
      <c r="AK15" s="14"/>
      <c r="AM15" s="19">
        <f>F15*14.95</f>
        <v>30886.699999999997</v>
      </c>
    </row>
    <row r="16" spans="1:42" ht="19.95" customHeight="1" x14ac:dyDescent="0.3">
      <c r="A16" s="1">
        <v>14</v>
      </c>
      <c r="B16" s="2" t="s">
        <v>22</v>
      </c>
      <c r="C16" s="24">
        <v>3220</v>
      </c>
      <c r="D16" s="6" t="s">
        <v>27</v>
      </c>
      <c r="E16" s="8">
        <f t="shared" si="1"/>
        <v>210</v>
      </c>
      <c r="F16" s="12">
        <f t="shared" si="0"/>
        <v>3010</v>
      </c>
      <c r="G16" s="14">
        <v>238</v>
      </c>
      <c r="H16" s="14">
        <v>223</v>
      </c>
      <c r="I16" s="14">
        <v>238</v>
      </c>
      <c r="J16" s="14">
        <v>225</v>
      </c>
      <c r="K16" s="22">
        <v>250</v>
      </c>
      <c r="L16" s="38"/>
      <c r="M16" s="39"/>
      <c r="N16" s="14">
        <v>245</v>
      </c>
      <c r="O16" s="14">
        <v>217</v>
      </c>
      <c r="P16" s="14">
        <v>233</v>
      </c>
      <c r="Q16" s="14">
        <v>223</v>
      </c>
      <c r="R16" s="14">
        <v>215</v>
      </c>
      <c r="S16" s="39"/>
      <c r="T16" s="39"/>
      <c r="U16" s="14">
        <v>231</v>
      </c>
      <c r="V16" s="14">
        <v>236</v>
      </c>
      <c r="W16" s="14">
        <v>236</v>
      </c>
      <c r="X16" s="14"/>
      <c r="Y16" s="14"/>
      <c r="Z16" s="39"/>
      <c r="AA16" s="39"/>
      <c r="AB16" s="14"/>
      <c r="AC16" s="14"/>
      <c r="AD16" s="14"/>
      <c r="AE16" s="14"/>
      <c r="AF16" s="14"/>
      <c r="AG16" s="39"/>
      <c r="AH16" s="39"/>
      <c r="AI16" s="14"/>
      <c r="AJ16" s="14"/>
      <c r="AK16" s="14"/>
      <c r="AM16" s="19">
        <f>F16*18.29</f>
        <v>55052.899999999994</v>
      </c>
    </row>
    <row r="17" spans="1:39" ht="19.95" customHeight="1" x14ac:dyDescent="0.3">
      <c r="A17" s="1">
        <v>15</v>
      </c>
      <c r="B17" s="2" t="s">
        <v>23</v>
      </c>
      <c r="C17" s="24">
        <v>7300</v>
      </c>
      <c r="D17" s="6" t="s">
        <v>27</v>
      </c>
      <c r="E17" s="8">
        <f t="shared" si="1"/>
        <v>125</v>
      </c>
      <c r="F17" s="12">
        <f t="shared" si="0"/>
        <v>7175</v>
      </c>
      <c r="G17" s="14">
        <v>489</v>
      </c>
      <c r="H17" s="14">
        <v>504</v>
      </c>
      <c r="I17" s="14">
        <v>469</v>
      </c>
      <c r="J17" s="14">
        <v>451</v>
      </c>
      <c r="K17" s="22">
        <v>517</v>
      </c>
      <c r="L17" s="38"/>
      <c r="M17" s="39"/>
      <c r="N17" s="14">
        <v>456</v>
      </c>
      <c r="O17" s="14">
        <v>424</v>
      </c>
      <c r="P17" s="14">
        <v>451</v>
      </c>
      <c r="Q17" s="14">
        <v>439</v>
      </c>
      <c r="R17" s="14">
        <v>450</v>
      </c>
      <c r="S17" s="39"/>
      <c r="T17" s="39"/>
      <c r="U17" s="14">
        <v>577</v>
      </c>
      <c r="V17" s="14">
        <v>530</v>
      </c>
      <c r="W17" s="14">
        <v>518</v>
      </c>
      <c r="X17" s="40">
        <v>150</v>
      </c>
      <c r="Y17" s="40">
        <v>150</v>
      </c>
      <c r="Z17" s="39"/>
      <c r="AA17" s="39"/>
      <c r="AB17" s="40">
        <v>150</v>
      </c>
      <c r="AC17" s="40">
        <v>150</v>
      </c>
      <c r="AD17" s="40">
        <v>150</v>
      </c>
      <c r="AE17" s="40">
        <v>150</v>
      </c>
      <c r="AF17" s="14"/>
      <c r="AG17" s="39"/>
      <c r="AH17" s="39"/>
      <c r="AI17" s="14"/>
      <c r="AJ17" s="14"/>
      <c r="AK17" s="14"/>
      <c r="AM17" s="19">
        <f>F17*10.99</f>
        <v>78853.25</v>
      </c>
    </row>
    <row r="18" spans="1:39" ht="19.95" customHeight="1" x14ac:dyDescent="0.3">
      <c r="A18" s="1">
        <v>16</v>
      </c>
      <c r="B18" s="2" t="s">
        <v>50</v>
      </c>
      <c r="C18" s="24" t="s">
        <v>51</v>
      </c>
      <c r="D18" s="9"/>
      <c r="E18" s="10"/>
      <c r="F18" s="12">
        <f t="shared" si="0"/>
        <v>26</v>
      </c>
      <c r="G18" s="14">
        <v>2</v>
      </c>
      <c r="H18" s="14">
        <v>2</v>
      </c>
      <c r="I18" s="14">
        <v>2</v>
      </c>
      <c r="J18" s="14">
        <v>2</v>
      </c>
      <c r="K18" s="22">
        <v>2</v>
      </c>
      <c r="L18" s="38"/>
      <c r="M18" s="39"/>
      <c r="N18" s="14">
        <v>2</v>
      </c>
      <c r="O18" s="14">
        <v>2</v>
      </c>
      <c r="P18" s="14">
        <v>2</v>
      </c>
      <c r="Q18" s="14">
        <v>2</v>
      </c>
      <c r="R18" s="14">
        <v>2</v>
      </c>
      <c r="S18" s="39"/>
      <c r="T18" s="39"/>
      <c r="U18" s="14">
        <v>2</v>
      </c>
      <c r="V18" s="14">
        <v>2</v>
      </c>
      <c r="W18" s="14">
        <v>2</v>
      </c>
      <c r="X18" s="14"/>
      <c r="Y18" s="14"/>
      <c r="Z18" s="39"/>
      <c r="AA18" s="39"/>
      <c r="AB18" s="14"/>
      <c r="AC18" s="14"/>
      <c r="AD18" s="14"/>
      <c r="AE18" s="14"/>
      <c r="AF18" s="14"/>
      <c r="AG18" s="39"/>
      <c r="AH18" s="39"/>
      <c r="AI18" s="14"/>
      <c r="AJ18" s="14"/>
      <c r="AK18" s="14"/>
      <c r="AM18" s="26"/>
    </row>
    <row r="19" spans="1:39" ht="19.95" customHeight="1" x14ac:dyDescent="0.3">
      <c r="A19" s="30"/>
      <c r="B19" s="31"/>
      <c r="C19" s="32"/>
      <c r="D19" s="9"/>
      <c r="E19" s="10"/>
      <c r="F19" s="13"/>
      <c r="G19" s="14"/>
      <c r="H19" s="14"/>
      <c r="I19" s="14"/>
      <c r="J19" s="14"/>
      <c r="K19" s="22"/>
      <c r="L19" s="38"/>
      <c r="M19" s="39"/>
      <c r="N19" s="14"/>
      <c r="O19" s="14"/>
      <c r="P19" s="14"/>
      <c r="Q19" s="14"/>
      <c r="R19" s="14"/>
      <c r="S19" s="39"/>
      <c r="T19" s="39"/>
      <c r="U19" s="14"/>
      <c r="V19" s="14"/>
      <c r="W19" s="14"/>
      <c r="X19" s="14"/>
      <c r="Y19" s="14"/>
      <c r="Z19" s="39"/>
      <c r="AA19" s="39"/>
      <c r="AB19" s="14"/>
      <c r="AC19" s="14"/>
      <c r="AD19" s="14"/>
      <c r="AE19" s="14"/>
      <c r="AF19" s="14"/>
      <c r="AG19" s="39"/>
      <c r="AH19" s="39"/>
      <c r="AI19" s="14"/>
      <c r="AJ19" s="14"/>
      <c r="AK19" s="14"/>
      <c r="AM19" s="26"/>
    </row>
    <row r="20" spans="1:39" ht="19.95" customHeight="1" x14ac:dyDescent="0.3">
      <c r="A20" s="48" t="s">
        <v>43</v>
      </c>
      <c r="B20" s="49"/>
      <c r="C20" s="27"/>
      <c r="D20" s="9"/>
      <c r="E20" s="10"/>
      <c r="F20" s="12">
        <f>AK20+AJ20+AI20+AH20+AG20+AF20+AE20+AD20+AC20+AB20+AA20+Z20+Y20+X20+W20+V20+U20+T20+S20+R20+Q20+P20+O20+N20+M20+L20+K20+J20+I20+H20+G20</f>
        <v>0</v>
      </c>
      <c r="G20" s="14"/>
      <c r="H20" s="14"/>
      <c r="I20" s="14"/>
      <c r="J20" s="14"/>
      <c r="K20" s="22"/>
      <c r="L20" s="38"/>
      <c r="M20" s="39"/>
      <c r="N20" s="14"/>
      <c r="O20" s="14"/>
      <c r="P20" s="14"/>
      <c r="Q20" s="14"/>
      <c r="R20" s="14"/>
      <c r="S20" s="39"/>
      <c r="T20" s="39"/>
      <c r="U20" s="14"/>
      <c r="V20" s="14"/>
      <c r="W20" s="14"/>
      <c r="X20" s="14"/>
      <c r="Y20" s="14"/>
      <c r="Z20" s="39"/>
      <c r="AA20" s="39"/>
      <c r="AB20" s="14"/>
      <c r="AC20" s="14"/>
      <c r="AD20" s="14"/>
      <c r="AE20" s="14"/>
      <c r="AF20" s="14"/>
      <c r="AG20" s="39"/>
      <c r="AH20" s="39"/>
      <c r="AI20" s="14"/>
      <c r="AJ20" s="14"/>
      <c r="AK20" s="14"/>
      <c r="AM20" s="26"/>
    </row>
    <row r="21" spans="1:39" ht="19.95" customHeight="1" x14ac:dyDescent="0.3">
      <c r="A21" s="1"/>
      <c r="B21" s="28" t="s">
        <v>44</v>
      </c>
      <c r="C21" s="24"/>
      <c r="D21" s="9"/>
      <c r="E21" s="10"/>
      <c r="F21" s="12">
        <f>AK21+AJ21+AI21+AH21+AG21+AF21+AE21+AD21+AC21+AB21+AA21+Z21+Y21+X21+W21+V21+U21+T21+S21+R21+Q21+P21+O21+N21+M21+L21+K21+J21+I21+H21+G21</f>
        <v>21</v>
      </c>
      <c r="G21" s="14"/>
      <c r="H21" s="14"/>
      <c r="I21" s="14">
        <v>7</v>
      </c>
      <c r="J21" s="14"/>
      <c r="K21" s="22"/>
      <c r="L21" s="38"/>
      <c r="M21" s="39"/>
      <c r="N21" s="14"/>
      <c r="O21" s="14"/>
      <c r="P21" s="14">
        <v>7</v>
      </c>
      <c r="Q21" s="14"/>
      <c r="R21" s="14"/>
      <c r="S21" s="39"/>
      <c r="T21" s="39"/>
      <c r="U21" s="14"/>
      <c r="V21" s="14"/>
      <c r="W21" s="14">
        <v>7</v>
      </c>
      <c r="X21" s="14"/>
      <c r="Y21" s="14"/>
      <c r="Z21" s="39"/>
      <c r="AA21" s="39"/>
      <c r="AB21" s="14"/>
      <c r="AC21" s="14"/>
      <c r="AD21" s="14"/>
      <c r="AE21" s="14"/>
      <c r="AF21" s="14"/>
      <c r="AG21" s="39"/>
      <c r="AH21" s="39"/>
      <c r="AI21" s="14"/>
      <c r="AJ21" s="14"/>
      <c r="AK21" s="14"/>
      <c r="AM21" s="26"/>
    </row>
    <row r="22" spans="1:39" ht="19.95" customHeight="1" x14ac:dyDescent="0.3">
      <c r="A22" s="1"/>
      <c r="B22" s="28" t="s">
        <v>45</v>
      </c>
      <c r="C22" s="24"/>
      <c r="D22" s="9"/>
      <c r="E22" s="10"/>
      <c r="F22" s="12">
        <f>AK22+AJ22+AI22+AH22+AG22+AF22+AE22+AD22+AC22+AB22+AA22+Z22+Y22+X22+W22+V22+U22+T22+S22+R22+Q22+P22+O22+N22+M22+L22+K22+J22+I22+H22+G22</f>
        <v>12</v>
      </c>
      <c r="G22" s="14"/>
      <c r="H22" s="14"/>
      <c r="I22" s="14">
        <v>4</v>
      </c>
      <c r="J22" s="14"/>
      <c r="K22" s="22"/>
      <c r="L22" s="38"/>
      <c r="M22" s="39"/>
      <c r="N22" s="14"/>
      <c r="O22" s="14"/>
      <c r="P22" s="14">
        <v>4</v>
      </c>
      <c r="Q22" s="14"/>
      <c r="R22" s="14"/>
      <c r="S22" s="39"/>
      <c r="T22" s="39"/>
      <c r="U22" s="14"/>
      <c r="V22" s="14"/>
      <c r="W22" s="14">
        <v>4</v>
      </c>
      <c r="X22" s="14"/>
      <c r="Y22" s="14"/>
      <c r="Z22" s="39"/>
      <c r="AA22" s="39"/>
      <c r="AB22" s="14"/>
      <c r="AC22" s="14"/>
      <c r="AD22" s="14"/>
      <c r="AE22" s="14"/>
      <c r="AF22" s="14"/>
      <c r="AG22" s="39"/>
      <c r="AH22" s="39"/>
      <c r="AI22" s="14"/>
      <c r="AJ22" s="14"/>
      <c r="AK22" s="14"/>
      <c r="AM22" s="26"/>
    </row>
    <row r="23" spans="1:39" ht="19.95" customHeight="1" x14ac:dyDescent="0.3">
      <c r="A23" s="1"/>
      <c r="B23" s="28" t="s">
        <v>46</v>
      </c>
      <c r="C23" s="24"/>
      <c r="D23" s="9"/>
      <c r="E23" s="10"/>
      <c r="F23" s="12">
        <f>AK23+AJ23+AI23+AH23+AG23+AF23+AE23+AD23+AC23+AB23+AA23+Z23+Y23+X23+W23+V23+U23+T23+S23+R23+Q23+P23+O23+N23+M23+L23+K23+J23+I23+H23+G23</f>
        <v>8</v>
      </c>
      <c r="G23" s="14"/>
      <c r="H23" s="14"/>
      <c r="I23" s="14">
        <v>4</v>
      </c>
      <c r="J23" s="14"/>
      <c r="K23" s="22"/>
      <c r="L23" s="38"/>
      <c r="M23" s="39"/>
      <c r="N23" s="14"/>
      <c r="O23" s="14"/>
      <c r="P23" s="14"/>
      <c r="Q23" s="14"/>
      <c r="R23" s="14"/>
      <c r="S23" s="39"/>
      <c r="T23" s="39"/>
      <c r="U23" s="14"/>
      <c r="V23" s="14"/>
      <c r="W23" s="14">
        <v>4</v>
      </c>
      <c r="X23" s="14"/>
      <c r="Y23" s="14"/>
      <c r="Z23" s="39"/>
      <c r="AA23" s="39"/>
      <c r="AB23" s="14"/>
      <c r="AC23" s="14"/>
      <c r="AD23" s="14"/>
      <c r="AE23" s="14"/>
      <c r="AF23" s="14"/>
      <c r="AG23" s="39"/>
      <c r="AH23" s="39"/>
      <c r="AI23" s="14"/>
      <c r="AJ23" s="14"/>
      <c r="AK23" s="14"/>
      <c r="AM23" s="26"/>
    </row>
    <row r="24" spans="1:39" ht="19.95" customHeight="1" x14ac:dyDescent="0.3">
      <c r="A24" s="1"/>
      <c r="B24" s="28" t="s">
        <v>47</v>
      </c>
      <c r="C24" s="24"/>
      <c r="D24" s="9"/>
      <c r="E24" s="10"/>
      <c r="F24" s="12"/>
      <c r="G24" s="14"/>
      <c r="H24" s="14"/>
      <c r="I24" s="14"/>
      <c r="J24" s="14"/>
      <c r="K24" s="22"/>
      <c r="L24" s="38"/>
      <c r="M24" s="39"/>
      <c r="N24" s="14"/>
      <c r="O24" s="14"/>
      <c r="P24" s="14">
        <v>4</v>
      </c>
      <c r="Q24" s="14"/>
      <c r="R24" s="14"/>
      <c r="S24" s="39"/>
      <c r="T24" s="39"/>
      <c r="U24" s="14"/>
      <c r="V24" s="14"/>
      <c r="W24" s="14"/>
      <c r="X24" s="14"/>
      <c r="Y24" s="14"/>
      <c r="Z24" s="39"/>
      <c r="AA24" s="39"/>
      <c r="AB24" s="14"/>
      <c r="AC24" s="14"/>
      <c r="AD24" s="14"/>
      <c r="AE24" s="14"/>
      <c r="AF24" s="14"/>
      <c r="AG24" s="39"/>
      <c r="AH24" s="39"/>
      <c r="AI24" s="14"/>
      <c r="AJ24" s="14"/>
      <c r="AK24" s="14"/>
      <c r="AM24" s="26"/>
    </row>
    <row r="25" spans="1:39" ht="19.95" customHeight="1" x14ac:dyDescent="0.3">
      <c r="A25" s="1"/>
      <c r="B25" s="28" t="s">
        <v>53</v>
      </c>
      <c r="C25" s="24"/>
      <c r="D25" s="9"/>
      <c r="E25" s="10"/>
      <c r="F25" s="12"/>
      <c r="G25" s="14"/>
      <c r="H25" s="14"/>
      <c r="I25" s="14">
        <v>4</v>
      </c>
      <c r="J25" s="14"/>
      <c r="K25" s="22"/>
      <c r="L25" s="38"/>
      <c r="M25" s="39"/>
      <c r="N25" s="14"/>
      <c r="O25" s="14"/>
      <c r="P25" s="14">
        <v>4</v>
      </c>
      <c r="Q25" s="14"/>
      <c r="R25" s="14"/>
      <c r="S25" s="39"/>
      <c r="T25" s="39"/>
      <c r="U25" s="14"/>
      <c r="V25" s="14"/>
      <c r="W25" s="14">
        <v>4</v>
      </c>
      <c r="X25" s="14"/>
      <c r="Y25" s="14"/>
      <c r="Z25" s="39"/>
      <c r="AA25" s="39"/>
      <c r="AB25" s="14"/>
      <c r="AC25" s="14"/>
      <c r="AD25" s="14"/>
      <c r="AE25" s="14"/>
      <c r="AF25" s="14"/>
      <c r="AG25" s="39"/>
      <c r="AH25" s="39"/>
      <c r="AI25" s="14"/>
      <c r="AJ25" s="14"/>
      <c r="AK25" s="14"/>
      <c r="AM25" s="26"/>
    </row>
    <row r="26" spans="1:39" ht="19.95" customHeight="1" x14ac:dyDescent="0.3">
      <c r="A26" s="1"/>
      <c r="B26" s="28" t="s">
        <v>48</v>
      </c>
      <c r="C26" s="24"/>
      <c r="D26" s="9"/>
      <c r="E26" s="10"/>
      <c r="F26" s="12"/>
      <c r="G26" s="14"/>
      <c r="H26" s="14"/>
      <c r="I26" s="14"/>
      <c r="J26" s="14"/>
      <c r="K26" s="22"/>
      <c r="L26" s="38"/>
      <c r="M26" s="39"/>
      <c r="N26" s="14"/>
      <c r="O26" s="14"/>
      <c r="P26" s="14"/>
      <c r="Q26" s="14"/>
      <c r="R26" s="14"/>
      <c r="S26" s="39"/>
      <c r="T26" s="39"/>
      <c r="U26" s="14"/>
      <c r="V26" s="14"/>
      <c r="W26" s="14"/>
      <c r="X26" s="14"/>
      <c r="Y26" s="14"/>
      <c r="Z26" s="39"/>
      <c r="AA26" s="39"/>
      <c r="AB26" s="14"/>
      <c r="AC26" s="14"/>
      <c r="AD26" s="14"/>
      <c r="AE26" s="14"/>
      <c r="AF26" s="14"/>
      <c r="AG26" s="39"/>
      <c r="AH26" s="39"/>
      <c r="AI26" s="14"/>
      <c r="AJ26" s="14"/>
      <c r="AK26" s="14"/>
      <c r="AM26" s="26"/>
    </row>
    <row r="27" spans="1:39" ht="19.95" customHeight="1" x14ac:dyDescent="0.3">
      <c r="A27" s="17"/>
      <c r="B27" s="29" t="s">
        <v>49</v>
      </c>
      <c r="C27" s="24"/>
      <c r="D27" s="9"/>
      <c r="E27" s="10"/>
      <c r="F27" s="12">
        <f t="shared" ref="F27:F40" si="3">AK27+AJ27+AI27+AH27+AG27+AF27+AE27+AD27+AC27+AB27+AA27+Z27+Y27+X27+W27+V27+U27+T27+S27+R27+Q27+P27+O27+N27+M27+L27+K27+J27+I27+H27+G27</f>
        <v>0</v>
      </c>
      <c r="G27" s="14"/>
      <c r="H27" s="14"/>
      <c r="I27" s="14"/>
      <c r="J27" s="14"/>
      <c r="K27" s="22"/>
      <c r="L27" s="38"/>
      <c r="M27" s="39"/>
      <c r="N27" s="14"/>
      <c r="O27" s="14"/>
      <c r="P27" s="14"/>
      <c r="Q27" s="14"/>
      <c r="R27" s="14"/>
      <c r="S27" s="39"/>
      <c r="T27" s="39"/>
      <c r="U27" s="14"/>
      <c r="V27" s="14"/>
      <c r="W27" s="14"/>
      <c r="X27" s="14"/>
      <c r="Y27" s="14"/>
      <c r="Z27" s="39"/>
      <c r="AA27" s="39"/>
      <c r="AB27" s="14"/>
      <c r="AC27" s="14"/>
      <c r="AD27" s="14"/>
      <c r="AE27" s="14"/>
      <c r="AF27" s="14"/>
      <c r="AG27" s="39"/>
      <c r="AH27" s="39"/>
      <c r="AI27" s="14"/>
      <c r="AJ27" s="14"/>
      <c r="AK27" s="14"/>
      <c r="AM27" s="20">
        <f>SUM(AM3:AM17)</f>
        <v>775663.45000000007</v>
      </c>
    </row>
    <row r="28" spans="1:39" ht="19.95" customHeight="1" x14ac:dyDescent="0.3">
      <c r="A28" s="1">
        <v>16</v>
      </c>
      <c r="B28" s="35" t="s">
        <v>25</v>
      </c>
      <c r="C28" s="36"/>
      <c r="D28" s="18" t="s">
        <v>7</v>
      </c>
      <c r="E28" s="18">
        <f t="shared" ref="E28:E35" si="4">C28-F28</f>
        <v>0</v>
      </c>
      <c r="F28" s="12">
        <f t="shared" si="3"/>
        <v>0</v>
      </c>
      <c r="G28" s="14"/>
      <c r="H28" s="14"/>
      <c r="I28" s="14"/>
      <c r="J28" s="14"/>
      <c r="K28" s="22"/>
      <c r="L28" s="38"/>
      <c r="M28" s="39"/>
      <c r="N28" s="14"/>
      <c r="O28" s="14"/>
      <c r="P28" s="14"/>
      <c r="Q28" s="14"/>
      <c r="R28" s="14"/>
      <c r="S28" s="39"/>
      <c r="T28" s="39"/>
      <c r="U28" s="14"/>
      <c r="V28" s="14"/>
      <c r="W28" s="14"/>
      <c r="X28" s="14"/>
      <c r="Y28" s="14"/>
      <c r="Z28" s="39"/>
      <c r="AA28" s="39"/>
      <c r="AB28" s="14"/>
      <c r="AC28" s="14"/>
      <c r="AD28" s="14"/>
      <c r="AE28" s="14"/>
      <c r="AF28" s="14"/>
      <c r="AG28" s="39"/>
      <c r="AH28" s="39"/>
      <c r="AI28" s="14"/>
      <c r="AJ28" s="14"/>
      <c r="AK28" s="14"/>
    </row>
    <row r="29" spans="1:39" ht="19.95" customHeight="1" x14ac:dyDescent="0.3">
      <c r="A29" s="1">
        <v>17</v>
      </c>
      <c r="B29" s="35" t="s">
        <v>24</v>
      </c>
      <c r="C29" s="36"/>
      <c r="D29" s="18" t="s">
        <v>7</v>
      </c>
      <c r="E29" s="18">
        <f t="shared" si="4"/>
        <v>0</v>
      </c>
      <c r="F29" s="12">
        <f t="shared" si="3"/>
        <v>0</v>
      </c>
      <c r="G29" s="14"/>
      <c r="H29" s="14"/>
      <c r="I29" s="14"/>
      <c r="J29" s="14"/>
      <c r="K29" s="22"/>
      <c r="L29" s="38"/>
      <c r="M29" s="39"/>
      <c r="N29" s="14"/>
      <c r="O29" s="14"/>
      <c r="P29" s="14"/>
      <c r="Q29" s="14"/>
      <c r="R29" s="14"/>
      <c r="S29" s="39"/>
      <c r="T29" s="39"/>
      <c r="U29" s="14"/>
      <c r="V29" s="14"/>
      <c r="W29" s="14"/>
      <c r="X29" s="14"/>
      <c r="Y29" s="14"/>
      <c r="Z29" s="39"/>
      <c r="AA29" s="39"/>
      <c r="AB29" s="14"/>
      <c r="AC29" s="14"/>
      <c r="AD29" s="14"/>
      <c r="AE29" s="14"/>
      <c r="AF29" s="14"/>
      <c r="AG29" s="39"/>
      <c r="AH29" s="39"/>
      <c r="AI29" s="14"/>
      <c r="AJ29" s="14"/>
      <c r="AK29" s="14"/>
    </row>
    <row r="30" spans="1:39" ht="19.95" customHeight="1" x14ac:dyDescent="0.3">
      <c r="A30" s="1">
        <v>18</v>
      </c>
      <c r="B30" s="2" t="s">
        <v>26</v>
      </c>
      <c r="C30" s="24"/>
      <c r="D30" s="6" t="s">
        <v>7</v>
      </c>
      <c r="E30" s="8">
        <f t="shared" si="4"/>
        <v>-60</v>
      </c>
      <c r="F30" s="12">
        <f t="shared" si="3"/>
        <v>60</v>
      </c>
      <c r="G30" s="14">
        <v>20</v>
      </c>
      <c r="H30" s="14"/>
      <c r="I30" s="14"/>
      <c r="J30" s="14"/>
      <c r="K30" s="22"/>
      <c r="L30" s="38"/>
      <c r="M30" s="39"/>
      <c r="N30" s="14">
        <v>10</v>
      </c>
      <c r="O30" s="14"/>
      <c r="P30" s="14">
        <v>10</v>
      </c>
      <c r="Q30" s="14"/>
      <c r="R30" s="14"/>
      <c r="S30" s="39"/>
      <c r="T30" s="39"/>
      <c r="U30" s="14">
        <v>10</v>
      </c>
      <c r="V30" s="14"/>
      <c r="W30" s="14">
        <v>10</v>
      </c>
      <c r="X30" s="14"/>
      <c r="Y30" s="14"/>
      <c r="Z30" s="39"/>
      <c r="AA30" s="39"/>
      <c r="AB30" s="14"/>
      <c r="AC30" s="14"/>
      <c r="AD30" s="14"/>
      <c r="AE30" s="14"/>
      <c r="AF30" s="14"/>
      <c r="AG30" s="39"/>
      <c r="AH30" s="39"/>
      <c r="AI30" s="14"/>
      <c r="AJ30" s="14"/>
      <c r="AK30" s="14"/>
    </row>
    <row r="31" spans="1:39" ht="19.95" customHeight="1" x14ac:dyDescent="0.3">
      <c r="A31" s="1">
        <v>19</v>
      </c>
      <c r="B31" s="2" t="s">
        <v>4</v>
      </c>
      <c r="C31" s="24"/>
      <c r="D31" s="6" t="s">
        <v>30</v>
      </c>
      <c r="E31" s="8">
        <f t="shared" si="4"/>
        <v>-120</v>
      </c>
      <c r="F31" s="12">
        <f t="shared" si="3"/>
        <v>120</v>
      </c>
      <c r="G31" s="14">
        <v>20</v>
      </c>
      <c r="H31" s="14"/>
      <c r="I31" s="14">
        <v>20</v>
      </c>
      <c r="J31" s="14"/>
      <c r="K31" s="22"/>
      <c r="L31" s="38"/>
      <c r="M31" s="39"/>
      <c r="N31" s="14">
        <v>20</v>
      </c>
      <c r="O31" s="14"/>
      <c r="P31" s="14">
        <v>20</v>
      </c>
      <c r="Q31" s="14"/>
      <c r="R31" s="14"/>
      <c r="S31" s="39"/>
      <c r="T31" s="39"/>
      <c r="U31" s="14">
        <v>20</v>
      </c>
      <c r="V31" s="14"/>
      <c r="W31" s="14">
        <v>20</v>
      </c>
      <c r="X31" s="14"/>
      <c r="Y31" s="14"/>
      <c r="Z31" s="39"/>
      <c r="AA31" s="39"/>
      <c r="AB31" s="14"/>
      <c r="AC31" s="14"/>
      <c r="AD31" s="14"/>
      <c r="AE31" s="14"/>
      <c r="AF31" s="14"/>
      <c r="AG31" s="39"/>
      <c r="AH31" s="39"/>
      <c r="AI31" s="14"/>
      <c r="AJ31" s="14"/>
      <c r="AK31" s="14"/>
    </row>
    <row r="32" spans="1:39" ht="19.95" customHeight="1" x14ac:dyDescent="0.3">
      <c r="A32" s="1">
        <v>45</v>
      </c>
      <c r="B32" s="2" t="s">
        <v>5</v>
      </c>
      <c r="C32" s="24"/>
      <c r="D32" s="6" t="s">
        <v>30</v>
      </c>
      <c r="E32" s="8">
        <f t="shared" si="4"/>
        <v>-120</v>
      </c>
      <c r="F32" s="12">
        <f t="shared" si="3"/>
        <v>120</v>
      </c>
      <c r="G32" s="14">
        <v>20</v>
      </c>
      <c r="H32" s="14"/>
      <c r="I32" s="14">
        <v>20</v>
      </c>
      <c r="J32" s="14"/>
      <c r="K32" s="22"/>
      <c r="L32" s="38"/>
      <c r="M32" s="39"/>
      <c r="N32" s="14">
        <v>20</v>
      </c>
      <c r="O32" s="14"/>
      <c r="P32" s="14">
        <v>20</v>
      </c>
      <c r="Q32" s="14"/>
      <c r="R32" s="14"/>
      <c r="S32" s="39"/>
      <c r="T32" s="39"/>
      <c r="U32" s="14">
        <v>20</v>
      </c>
      <c r="V32" s="14"/>
      <c r="W32" s="14">
        <v>20</v>
      </c>
      <c r="X32" s="14"/>
      <c r="Y32" s="14"/>
      <c r="Z32" s="39"/>
      <c r="AA32" s="39"/>
      <c r="AB32" s="14"/>
      <c r="AC32" s="14"/>
      <c r="AD32" s="14"/>
      <c r="AE32" s="14"/>
      <c r="AF32" s="14"/>
      <c r="AG32" s="39"/>
      <c r="AH32" s="39"/>
      <c r="AI32" s="14"/>
      <c r="AJ32" s="14"/>
      <c r="AK32" s="14"/>
    </row>
    <row r="33" spans="1:37" ht="19.95" customHeight="1" x14ac:dyDescent="0.3">
      <c r="A33" s="1">
        <v>21</v>
      </c>
      <c r="B33" s="2" t="s">
        <v>3</v>
      </c>
      <c r="C33" s="24"/>
      <c r="D33" s="6" t="s">
        <v>8</v>
      </c>
      <c r="E33" s="8">
        <f t="shared" si="4"/>
        <v>-390</v>
      </c>
      <c r="F33" s="12">
        <f t="shared" si="3"/>
        <v>390</v>
      </c>
      <c r="G33" s="14">
        <v>30</v>
      </c>
      <c r="H33" s="14">
        <v>30</v>
      </c>
      <c r="I33" s="14">
        <v>30</v>
      </c>
      <c r="J33" s="14">
        <v>30</v>
      </c>
      <c r="K33" s="14">
        <v>30</v>
      </c>
      <c r="L33" s="39"/>
      <c r="M33" s="39"/>
      <c r="N33" s="14">
        <v>30</v>
      </c>
      <c r="O33" s="14">
        <v>30</v>
      </c>
      <c r="P33" s="14">
        <v>30</v>
      </c>
      <c r="Q33" s="14">
        <v>30</v>
      </c>
      <c r="R33" s="14">
        <v>30</v>
      </c>
      <c r="S33" s="39"/>
      <c r="T33" s="39"/>
      <c r="U33" s="14">
        <v>30</v>
      </c>
      <c r="V33" s="14">
        <v>30</v>
      </c>
      <c r="W33" s="14">
        <v>30</v>
      </c>
      <c r="X33" s="14"/>
      <c r="Y33" s="14"/>
      <c r="Z33" s="39"/>
      <c r="AA33" s="39"/>
      <c r="AB33" s="14"/>
      <c r="AC33" s="14"/>
      <c r="AD33" s="14"/>
      <c r="AE33" s="14"/>
      <c r="AF33" s="14"/>
      <c r="AG33" s="39"/>
      <c r="AH33" s="39"/>
      <c r="AI33" s="14"/>
      <c r="AJ33" s="14"/>
      <c r="AK33" s="14"/>
    </row>
    <row r="34" spans="1:37" ht="19.95" customHeight="1" x14ac:dyDescent="0.3">
      <c r="A34" s="1">
        <v>22</v>
      </c>
      <c r="B34" s="2" t="s">
        <v>2</v>
      </c>
      <c r="C34" s="24"/>
      <c r="D34" s="6" t="s">
        <v>8</v>
      </c>
      <c r="E34" s="8">
        <f t="shared" si="4"/>
        <v>-390</v>
      </c>
      <c r="F34" s="12">
        <f t="shared" si="3"/>
        <v>390</v>
      </c>
      <c r="G34" s="14">
        <v>30</v>
      </c>
      <c r="H34" s="14">
        <v>30</v>
      </c>
      <c r="I34" s="14">
        <v>30</v>
      </c>
      <c r="J34" s="14">
        <v>30</v>
      </c>
      <c r="K34" s="14">
        <v>30</v>
      </c>
      <c r="L34" s="39"/>
      <c r="M34" s="39"/>
      <c r="N34" s="14">
        <v>30</v>
      </c>
      <c r="O34" s="14">
        <v>30</v>
      </c>
      <c r="P34" s="14">
        <v>30</v>
      </c>
      <c r="Q34" s="14">
        <v>30</v>
      </c>
      <c r="R34" s="14">
        <v>30</v>
      </c>
      <c r="S34" s="39"/>
      <c r="T34" s="39"/>
      <c r="U34" s="14">
        <v>30</v>
      </c>
      <c r="V34" s="14">
        <v>30</v>
      </c>
      <c r="W34" s="14">
        <v>30</v>
      </c>
      <c r="X34" s="14"/>
      <c r="Y34" s="14"/>
      <c r="Z34" s="39"/>
      <c r="AA34" s="39"/>
      <c r="AB34" s="14"/>
      <c r="AC34" s="14"/>
      <c r="AD34" s="14"/>
      <c r="AE34" s="14"/>
      <c r="AF34" s="14"/>
      <c r="AG34" s="39"/>
      <c r="AH34" s="39"/>
      <c r="AI34" s="14"/>
      <c r="AJ34" s="14"/>
      <c r="AK34" s="14"/>
    </row>
    <row r="35" spans="1:37" ht="19.95" customHeight="1" x14ac:dyDescent="0.3">
      <c r="A35" s="1">
        <v>23</v>
      </c>
      <c r="B35" s="35" t="s">
        <v>32</v>
      </c>
      <c r="C35" s="35"/>
      <c r="D35" s="18" t="s">
        <v>33</v>
      </c>
      <c r="E35" s="18">
        <f t="shared" si="4"/>
        <v>0</v>
      </c>
      <c r="F35" s="12">
        <f t="shared" si="3"/>
        <v>0</v>
      </c>
      <c r="G35" s="14"/>
      <c r="H35" s="14"/>
      <c r="I35" s="14"/>
      <c r="J35" s="14"/>
      <c r="K35" s="22"/>
      <c r="L35" s="38"/>
      <c r="M35" s="39"/>
      <c r="N35" s="14"/>
      <c r="O35" s="14"/>
      <c r="P35" s="14"/>
      <c r="Q35" s="14"/>
      <c r="R35" s="14"/>
      <c r="S35" s="39"/>
      <c r="T35" s="39"/>
      <c r="U35" s="14"/>
      <c r="V35" s="14"/>
      <c r="W35" s="14"/>
      <c r="X35" s="14"/>
      <c r="Y35" s="14"/>
      <c r="Z35" s="39"/>
      <c r="AA35" s="39"/>
      <c r="AB35" s="14"/>
      <c r="AC35" s="14"/>
      <c r="AD35" s="14"/>
      <c r="AE35" s="14"/>
      <c r="AF35" s="14"/>
      <c r="AG35" s="39"/>
      <c r="AH35" s="39"/>
      <c r="AI35" s="14"/>
      <c r="AJ35" s="14"/>
      <c r="AK35" s="14"/>
    </row>
    <row r="36" spans="1:37" ht="19.95" customHeight="1" x14ac:dyDescent="0.3">
      <c r="A36" s="1"/>
      <c r="B36" s="23" t="s">
        <v>42</v>
      </c>
      <c r="C36" s="25"/>
      <c r="D36" s="9" t="s">
        <v>7</v>
      </c>
      <c r="E36" s="8"/>
      <c r="F36" s="12">
        <f t="shared" si="3"/>
        <v>212</v>
      </c>
      <c r="G36" s="14">
        <v>16</v>
      </c>
      <c r="H36" s="14">
        <v>17</v>
      </c>
      <c r="I36" s="14">
        <v>16</v>
      </c>
      <c r="J36" s="14">
        <v>17</v>
      </c>
      <c r="K36" s="22">
        <v>16</v>
      </c>
      <c r="L36" s="38"/>
      <c r="M36" s="39"/>
      <c r="N36" s="14">
        <v>16</v>
      </c>
      <c r="O36" s="14">
        <v>17</v>
      </c>
      <c r="P36" s="14">
        <v>17</v>
      </c>
      <c r="Q36" s="14">
        <v>16</v>
      </c>
      <c r="R36" s="14">
        <v>16</v>
      </c>
      <c r="S36" s="39"/>
      <c r="T36" s="39"/>
      <c r="U36" s="14">
        <v>16</v>
      </c>
      <c r="V36" s="14">
        <v>16</v>
      </c>
      <c r="W36" s="14">
        <v>16</v>
      </c>
      <c r="X36" s="14"/>
      <c r="Y36" s="14"/>
      <c r="Z36" s="39"/>
      <c r="AA36" s="39"/>
      <c r="AB36" s="14"/>
      <c r="AC36" s="14"/>
      <c r="AD36" s="14"/>
      <c r="AE36" s="14"/>
      <c r="AF36" s="14"/>
      <c r="AG36" s="39"/>
      <c r="AH36" s="39"/>
      <c r="AI36" s="14"/>
      <c r="AJ36" s="14"/>
      <c r="AK36" s="14"/>
    </row>
    <row r="37" spans="1:37" ht="19.95" customHeight="1" x14ac:dyDescent="0.3">
      <c r="A37" s="1"/>
      <c r="B37" s="2" t="s">
        <v>37</v>
      </c>
      <c r="C37" s="25"/>
      <c r="D37" s="9" t="s">
        <v>7</v>
      </c>
      <c r="E37" s="8"/>
      <c r="F37" s="12">
        <f t="shared" si="3"/>
        <v>250</v>
      </c>
      <c r="G37" s="14">
        <v>40</v>
      </c>
      <c r="H37" s="14"/>
      <c r="I37" s="14">
        <v>40</v>
      </c>
      <c r="J37" s="14"/>
      <c r="K37" s="22">
        <v>40</v>
      </c>
      <c r="L37" s="38"/>
      <c r="M37" s="39"/>
      <c r="N37" s="14">
        <v>40</v>
      </c>
      <c r="O37" s="14"/>
      <c r="P37" s="14">
        <v>40</v>
      </c>
      <c r="Q37" s="14"/>
      <c r="R37" s="14"/>
      <c r="S37" s="39"/>
      <c r="T37" s="39"/>
      <c r="U37" s="14">
        <v>40</v>
      </c>
      <c r="V37" s="14"/>
      <c r="W37" s="14">
        <v>10</v>
      </c>
      <c r="X37" s="14"/>
      <c r="Y37" s="14"/>
      <c r="Z37" s="39"/>
      <c r="AA37" s="39"/>
      <c r="AB37" s="14"/>
      <c r="AC37" s="14"/>
      <c r="AD37" s="14"/>
      <c r="AE37" s="14"/>
      <c r="AF37" s="14"/>
      <c r="AG37" s="39"/>
      <c r="AH37" s="39"/>
      <c r="AI37" s="14"/>
      <c r="AJ37" s="14"/>
      <c r="AK37" s="14"/>
    </row>
    <row r="38" spans="1:37" ht="19.95" customHeight="1" x14ac:dyDescent="0.3">
      <c r="A38" s="1"/>
      <c r="B38" s="2" t="s">
        <v>38</v>
      </c>
      <c r="C38" s="25"/>
      <c r="D38" s="9" t="s">
        <v>7</v>
      </c>
      <c r="E38" s="8"/>
      <c r="F38" s="12">
        <f t="shared" si="3"/>
        <v>90</v>
      </c>
      <c r="G38" s="14">
        <v>15</v>
      </c>
      <c r="H38" s="14"/>
      <c r="I38" s="14">
        <v>15</v>
      </c>
      <c r="J38" s="14"/>
      <c r="K38" s="22"/>
      <c r="L38" s="38"/>
      <c r="M38" s="39"/>
      <c r="N38" s="14">
        <v>15</v>
      </c>
      <c r="O38" s="14"/>
      <c r="P38" s="14">
        <v>15</v>
      </c>
      <c r="Q38" s="14"/>
      <c r="R38" s="14"/>
      <c r="S38" s="39"/>
      <c r="T38" s="39"/>
      <c r="U38" s="14">
        <v>15</v>
      </c>
      <c r="V38" s="14"/>
      <c r="W38" s="14">
        <v>15</v>
      </c>
      <c r="X38" s="14"/>
      <c r="Y38" s="14"/>
      <c r="Z38" s="39"/>
      <c r="AA38" s="39"/>
      <c r="AB38" s="14"/>
      <c r="AC38" s="14"/>
      <c r="AD38" s="14"/>
      <c r="AE38" s="14"/>
      <c r="AF38" s="14"/>
      <c r="AG38" s="39"/>
      <c r="AH38" s="39"/>
      <c r="AI38" s="14"/>
      <c r="AJ38" s="14"/>
      <c r="AK38" s="14"/>
    </row>
    <row r="39" spans="1:37" ht="19.95" customHeight="1" x14ac:dyDescent="0.3">
      <c r="A39" s="1"/>
      <c r="B39" s="2" t="s">
        <v>40</v>
      </c>
      <c r="C39" s="25"/>
      <c r="D39" s="9" t="s">
        <v>7</v>
      </c>
      <c r="E39" s="8"/>
      <c r="F39" s="12">
        <f t="shared" si="3"/>
        <v>90</v>
      </c>
      <c r="G39" s="14">
        <v>15</v>
      </c>
      <c r="H39" s="14"/>
      <c r="I39" s="14">
        <v>15</v>
      </c>
      <c r="J39" s="14"/>
      <c r="K39" s="22"/>
      <c r="L39" s="38"/>
      <c r="M39" s="39"/>
      <c r="N39" s="14">
        <v>15</v>
      </c>
      <c r="O39" s="14"/>
      <c r="P39" s="14">
        <v>15</v>
      </c>
      <c r="Q39" s="14"/>
      <c r="R39" s="14"/>
      <c r="S39" s="39"/>
      <c r="T39" s="39"/>
      <c r="U39" s="14">
        <v>15</v>
      </c>
      <c r="V39" s="14"/>
      <c r="W39" s="14">
        <v>15</v>
      </c>
      <c r="X39" s="14"/>
      <c r="Y39" s="14"/>
      <c r="Z39" s="39"/>
      <c r="AA39" s="39"/>
      <c r="AB39" s="14"/>
      <c r="AC39" s="14"/>
      <c r="AD39" s="14"/>
      <c r="AE39" s="14"/>
      <c r="AF39" s="14"/>
      <c r="AG39" s="39"/>
      <c r="AH39" s="39"/>
      <c r="AI39" s="14"/>
      <c r="AJ39" s="14"/>
      <c r="AK39" s="14"/>
    </row>
    <row r="40" spans="1:37" ht="19.95" customHeight="1" x14ac:dyDescent="0.3">
      <c r="A40" s="1"/>
      <c r="B40" s="2" t="s">
        <v>39</v>
      </c>
      <c r="C40" s="25"/>
      <c r="D40" s="9" t="s">
        <v>7</v>
      </c>
      <c r="E40" s="8"/>
      <c r="F40" s="12">
        <f t="shared" si="3"/>
        <v>90</v>
      </c>
      <c r="G40" s="14">
        <v>15</v>
      </c>
      <c r="H40" s="14"/>
      <c r="I40" s="14">
        <v>15</v>
      </c>
      <c r="J40" s="14"/>
      <c r="K40" s="22"/>
      <c r="L40" s="38"/>
      <c r="M40" s="39"/>
      <c r="N40" s="14">
        <v>15</v>
      </c>
      <c r="O40" s="14"/>
      <c r="P40" s="14">
        <v>15</v>
      </c>
      <c r="Q40" s="14"/>
      <c r="R40" s="14"/>
      <c r="S40" s="39"/>
      <c r="T40" s="39"/>
      <c r="U40" s="14">
        <v>15</v>
      </c>
      <c r="V40" s="14"/>
      <c r="W40" s="14">
        <v>15</v>
      </c>
      <c r="X40" s="14"/>
      <c r="Y40" s="14"/>
      <c r="Z40" s="39"/>
      <c r="AA40" s="39"/>
      <c r="AB40" s="14"/>
      <c r="AC40" s="14"/>
      <c r="AD40" s="14"/>
      <c r="AE40" s="14"/>
      <c r="AF40" s="14"/>
      <c r="AG40" s="39"/>
      <c r="AH40" s="39"/>
      <c r="AI40" s="14"/>
      <c r="AJ40" s="14"/>
      <c r="AK40" s="14"/>
    </row>
  </sheetData>
  <mergeCells count="2">
    <mergeCell ref="C1:AK1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B98F-E6AD-4757-AC99-F2634CB90FBE}">
  <dimension ref="A1:AP40"/>
  <sheetViews>
    <sheetView topLeftCell="A9" zoomScale="50" zoomScaleNormal="50" workbookViewId="0">
      <selection activeCell="A17" sqref="A17"/>
    </sheetView>
  </sheetViews>
  <sheetFormatPr defaultRowHeight="14.4" x14ac:dyDescent="0.3"/>
  <cols>
    <col min="1" max="1" width="13.5546875" customWidth="1"/>
    <col min="2" max="2" width="39.21875" customWidth="1"/>
    <col min="3" max="3" width="15.77734375" customWidth="1"/>
    <col min="4" max="4" width="11.44140625" customWidth="1"/>
    <col min="5" max="5" width="17" customWidth="1"/>
    <col min="6" max="6" width="13.5546875" customWidth="1"/>
    <col min="7" max="9" width="8.88671875" customWidth="1"/>
    <col min="38" max="38" width="5" customWidth="1"/>
    <col min="39" max="39" width="25.77734375" customWidth="1"/>
    <col min="42" max="42" width="34.21875" customWidth="1"/>
  </cols>
  <sheetData>
    <row r="1" spans="1:42" ht="45.6" customHeight="1" x14ac:dyDescent="0.3">
      <c r="A1" s="4" t="s">
        <v>6</v>
      </c>
      <c r="B1" s="16" t="s">
        <v>55</v>
      </c>
      <c r="C1" s="46" t="s">
        <v>31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42" ht="28.8" x14ac:dyDescent="0.3">
      <c r="A2" s="3" t="s">
        <v>0</v>
      </c>
      <c r="B2" s="3" t="s">
        <v>12</v>
      </c>
      <c r="C2" s="24" t="s">
        <v>1</v>
      </c>
      <c r="D2" s="5" t="s">
        <v>11</v>
      </c>
      <c r="E2" s="7" t="s">
        <v>9</v>
      </c>
      <c r="F2" s="11" t="s">
        <v>10</v>
      </c>
      <c r="G2" s="15">
        <v>46082</v>
      </c>
      <c r="H2" s="15">
        <v>46083</v>
      </c>
      <c r="I2" s="15">
        <v>46084</v>
      </c>
      <c r="J2" s="15">
        <v>46085</v>
      </c>
      <c r="K2" s="15">
        <v>46086</v>
      </c>
      <c r="L2" s="33">
        <v>46087</v>
      </c>
      <c r="M2" s="33">
        <v>46088</v>
      </c>
      <c r="N2" s="15">
        <v>46089</v>
      </c>
      <c r="O2" s="15">
        <v>46090</v>
      </c>
      <c r="P2" s="15">
        <v>46091</v>
      </c>
      <c r="Q2" s="15">
        <v>46092</v>
      </c>
      <c r="R2" s="15">
        <v>46093</v>
      </c>
      <c r="S2" s="33">
        <v>46094</v>
      </c>
      <c r="T2" s="33">
        <v>46095</v>
      </c>
      <c r="U2" s="15">
        <v>46096</v>
      </c>
      <c r="V2" s="15">
        <v>46097</v>
      </c>
      <c r="W2" s="15">
        <v>46098</v>
      </c>
      <c r="X2" s="15">
        <v>46099</v>
      </c>
      <c r="Y2" s="15">
        <v>46100</v>
      </c>
      <c r="Z2" s="33">
        <v>46101</v>
      </c>
      <c r="AA2" s="33">
        <v>46102</v>
      </c>
      <c r="AB2" s="15">
        <v>46103</v>
      </c>
      <c r="AC2" s="15">
        <v>46104</v>
      </c>
      <c r="AD2" s="15">
        <v>46105</v>
      </c>
      <c r="AE2" s="15">
        <v>46106</v>
      </c>
      <c r="AF2" s="15">
        <v>46107</v>
      </c>
      <c r="AG2" s="33">
        <v>46108</v>
      </c>
      <c r="AH2" s="33">
        <v>46109</v>
      </c>
      <c r="AI2" s="15">
        <v>46110</v>
      </c>
      <c r="AJ2" s="15">
        <v>46111</v>
      </c>
      <c r="AK2" s="15">
        <v>46112</v>
      </c>
      <c r="AL2" s="15"/>
    </row>
    <row r="3" spans="1:42" ht="19.95" customHeight="1" x14ac:dyDescent="0.3">
      <c r="A3" s="1">
        <v>1</v>
      </c>
      <c r="B3" s="2" t="s">
        <v>13</v>
      </c>
      <c r="C3" s="24">
        <v>4207</v>
      </c>
      <c r="D3" s="6" t="s">
        <v>29</v>
      </c>
      <c r="E3" s="8">
        <f>C3-F3</f>
        <v>538</v>
      </c>
      <c r="F3" s="12">
        <f t="shared" ref="F3:F18" si="0">AK3+AJ3+AI3+AH3+AG3+AF3+AE3+AD3+AC3+AB3+AA3+Z3+Y3+X3+W3+V3+U3+T3+S3+R3+Q3+P3+O3+N3+M3+L3+K3+J3+I3+H3+G3</f>
        <v>3669</v>
      </c>
      <c r="G3" s="14"/>
      <c r="H3" s="14"/>
      <c r="I3" s="14"/>
      <c r="J3" s="14"/>
      <c r="K3" s="22"/>
      <c r="L3" s="41"/>
      <c r="M3" s="34"/>
      <c r="N3" s="14"/>
      <c r="O3" s="14"/>
      <c r="P3" s="14"/>
      <c r="Q3" s="14"/>
      <c r="R3" s="14"/>
      <c r="S3" s="34"/>
      <c r="T3" s="34"/>
      <c r="U3" s="14"/>
      <c r="V3" s="14"/>
      <c r="W3" s="14"/>
      <c r="X3" s="14"/>
      <c r="Y3" s="14"/>
      <c r="Z3" s="34"/>
      <c r="AA3" s="34"/>
      <c r="AB3" s="14"/>
      <c r="AC3" s="14"/>
      <c r="AD3" s="14"/>
      <c r="AE3" s="14">
        <v>409</v>
      </c>
      <c r="AF3" s="14">
        <v>796</v>
      </c>
      <c r="AG3" s="34"/>
      <c r="AH3" s="34"/>
      <c r="AI3" s="14">
        <v>812</v>
      </c>
      <c r="AJ3" s="14">
        <v>834</v>
      </c>
      <c r="AK3" s="14">
        <v>818</v>
      </c>
      <c r="AM3" s="19">
        <f>F3*11.99</f>
        <v>43991.31</v>
      </c>
    </row>
    <row r="4" spans="1:42" ht="19.95" customHeight="1" x14ac:dyDescent="0.3">
      <c r="A4" s="1">
        <v>2</v>
      </c>
      <c r="B4" s="2" t="s">
        <v>16</v>
      </c>
      <c r="C4" s="24">
        <v>3676</v>
      </c>
      <c r="D4" s="6" t="s">
        <v>28</v>
      </c>
      <c r="E4" s="8">
        <f t="shared" ref="E4:E17" si="1">C4-F4</f>
        <v>2576</v>
      </c>
      <c r="F4" s="12">
        <f t="shared" si="0"/>
        <v>1100</v>
      </c>
      <c r="G4" s="14"/>
      <c r="H4" s="14"/>
      <c r="I4" s="14"/>
      <c r="J4" s="14"/>
      <c r="K4" s="22"/>
      <c r="L4" s="41"/>
      <c r="M4" s="34"/>
      <c r="N4" s="14"/>
      <c r="O4" s="14"/>
      <c r="P4" s="14"/>
      <c r="Q4" s="14"/>
      <c r="R4" s="14"/>
      <c r="S4" s="34"/>
      <c r="T4" s="34"/>
      <c r="U4" s="14"/>
      <c r="V4" s="14"/>
      <c r="W4" s="14"/>
      <c r="X4" s="14"/>
      <c r="Y4" s="14"/>
      <c r="Z4" s="34"/>
      <c r="AA4" s="34"/>
      <c r="AB4" s="14"/>
      <c r="AC4" s="14"/>
      <c r="AD4" s="14"/>
      <c r="AE4" s="14">
        <v>117</v>
      </c>
      <c r="AF4" s="14">
        <v>240</v>
      </c>
      <c r="AG4" s="34"/>
      <c r="AH4" s="34"/>
      <c r="AI4" s="14">
        <v>241</v>
      </c>
      <c r="AJ4" s="14">
        <v>247</v>
      </c>
      <c r="AK4" s="14">
        <v>255</v>
      </c>
      <c r="AM4" s="19">
        <f>F4*16.1</f>
        <v>17710</v>
      </c>
    </row>
    <row r="5" spans="1:42" ht="19.95" customHeight="1" x14ac:dyDescent="0.3">
      <c r="A5" s="1">
        <v>3</v>
      </c>
      <c r="B5" s="2" t="s">
        <v>15</v>
      </c>
      <c r="C5" s="24">
        <v>450</v>
      </c>
      <c r="D5" s="6" t="s">
        <v>27</v>
      </c>
      <c r="E5" s="8">
        <f t="shared" si="1"/>
        <v>21</v>
      </c>
      <c r="F5" s="12">
        <f t="shared" si="0"/>
        <v>429</v>
      </c>
      <c r="G5" s="14"/>
      <c r="H5" s="14"/>
      <c r="I5" s="14"/>
      <c r="J5" s="14"/>
      <c r="K5" s="22"/>
      <c r="L5" s="41"/>
      <c r="M5" s="34"/>
      <c r="N5" s="14"/>
      <c r="O5" s="14"/>
      <c r="P5" s="14"/>
      <c r="Q5" s="14"/>
      <c r="R5" s="14"/>
      <c r="S5" s="34"/>
      <c r="T5" s="34"/>
      <c r="U5" s="14"/>
      <c r="V5" s="14"/>
      <c r="W5" s="14"/>
      <c r="X5" s="14"/>
      <c r="Y5" s="14"/>
      <c r="Z5" s="34"/>
      <c r="AA5" s="34"/>
      <c r="AB5" s="14"/>
      <c r="AC5" s="14"/>
      <c r="AD5" s="14"/>
      <c r="AE5" s="14">
        <v>49</v>
      </c>
      <c r="AF5" s="14">
        <v>93</v>
      </c>
      <c r="AG5" s="34"/>
      <c r="AH5" s="34"/>
      <c r="AI5" s="14">
        <v>90</v>
      </c>
      <c r="AJ5" s="14">
        <v>101</v>
      </c>
      <c r="AK5" s="14">
        <v>96</v>
      </c>
      <c r="AM5" s="19">
        <f>F5*18.4</f>
        <v>7893.5999999999995</v>
      </c>
    </row>
    <row r="6" spans="1:42" ht="19.95" customHeight="1" x14ac:dyDescent="0.3">
      <c r="A6" s="1">
        <v>4</v>
      </c>
      <c r="B6" s="2" t="s">
        <v>14</v>
      </c>
      <c r="C6" s="24">
        <v>688</v>
      </c>
      <c r="D6" s="6" t="s">
        <v>27</v>
      </c>
      <c r="E6" s="8">
        <f t="shared" si="1"/>
        <v>77</v>
      </c>
      <c r="F6" s="12">
        <f t="shared" si="0"/>
        <v>611</v>
      </c>
      <c r="G6" s="14"/>
      <c r="H6" s="14"/>
      <c r="I6" s="14"/>
      <c r="J6" s="14"/>
      <c r="K6" s="22"/>
      <c r="L6" s="41"/>
      <c r="M6" s="34"/>
      <c r="N6" s="14"/>
      <c r="O6" s="14"/>
      <c r="P6" s="14"/>
      <c r="Q6" s="14"/>
      <c r="R6" s="14"/>
      <c r="S6" s="34"/>
      <c r="T6" s="34"/>
      <c r="U6" s="14"/>
      <c r="V6" s="14"/>
      <c r="W6" s="14"/>
      <c r="X6" s="14"/>
      <c r="Y6" s="14"/>
      <c r="Z6" s="34"/>
      <c r="AA6" s="34"/>
      <c r="AB6" s="14"/>
      <c r="AC6" s="14"/>
      <c r="AD6" s="14"/>
      <c r="AE6" s="14">
        <v>66</v>
      </c>
      <c r="AF6" s="14">
        <v>135</v>
      </c>
      <c r="AG6" s="34"/>
      <c r="AH6" s="34"/>
      <c r="AI6" s="14">
        <v>133</v>
      </c>
      <c r="AJ6" s="14">
        <v>143</v>
      </c>
      <c r="AK6" s="14">
        <v>134</v>
      </c>
      <c r="AM6" s="19">
        <f>F6*18.4</f>
        <v>11242.4</v>
      </c>
    </row>
    <row r="7" spans="1:42" ht="19.95" customHeight="1" x14ac:dyDescent="0.3">
      <c r="A7" s="1">
        <v>5</v>
      </c>
      <c r="B7" s="2" t="s">
        <v>17</v>
      </c>
      <c r="C7" s="24">
        <v>5490</v>
      </c>
      <c r="D7" s="6" t="s">
        <v>29</v>
      </c>
      <c r="E7" s="8">
        <f t="shared" si="1"/>
        <v>2238</v>
      </c>
      <c r="F7" s="12">
        <f t="shared" si="0"/>
        <v>3252</v>
      </c>
      <c r="G7" s="14"/>
      <c r="H7" s="14"/>
      <c r="I7" s="14"/>
      <c r="J7" s="14"/>
      <c r="K7" s="22"/>
      <c r="L7" s="41"/>
      <c r="M7" s="34"/>
      <c r="N7" s="14"/>
      <c r="O7" s="14"/>
      <c r="P7" s="14"/>
      <c r="Q7" s="14"/>
      <c r="R7" s="14"/>
      <c r="S7" s="34"/>
      <c r="T7" s="34"/>
      <c r="U7" s="14"/>
      <c r="V7" s="14"/>
      <c r="W7" s="14"/>
      <c r="X7" s="14"/>
      <c r="Y7" s="14"/>
      <c r="Z7" s="34"/>
      <c r="AA7" s="34"/>
      <c r="AB7" s="14"/>
      <c r="AC7" s="14"/>
      <c r="AD7" s="14"/>
      <c r="AE7" s="14">
        <v>355</v>
      </c>
      <c r="AF7" s="14">
        <v>703</v>
      </c>
      <c r="AG7" s="34"/>
      <c r="AH7" s="34"/>
      <c r="AI7" s="14">
        <v>722</v>
      </c>
      <c r="AJ7" s="14">
        <v>745</v>
      </c>
      <c r="AK7" s="14">
        <v>727</v>
      </c>
      <c r="AM7" s="19">
        <f>F7*18.4</f>
        <v>59836.799999999996</v>
      </c>
    </row>
    <row r="8" spans="1:42" ht="19.95" customHeight="1" x14ac:dyDescent="0.3">
      <c r="A8" s="1">
        <v>6</v>
      </c>
      <c r="B8" s="2" t="s">
        <v>19</v>
      </c>
      <c r="C8" s="24">
        <v>4000</v>
      </c>
      <c r="D8" s="6" t="s">
        <v>28</v>
      </c>
      <c r="E8" s="8">
        <f t="shared" si="1"/>
        <v>450</v>
      </c>
      <c r="F8" s="12">
        <f t="shared" si="0"/>
        <v>3550</v>
      </c>
      <c r="G8" s="40">
        <v>157</v>
      </c>
      <c r="H8" s="40">
        <v>158</v>
      </c>
      <c r="I8" s="40">
        <v>154</v>
      </c>
      <c r="J8" s="40">
        <v>157</v>
      </c>
      <c r="K8" s="42">
        <v>142</v>
      </c>
      <c r="L8" s="42">
        <v>10</v>
      </c>
      <c r="M8" s="34"/>
      <c r="N8" s="40">
        <v>153</v>
      </c>
      <c r="O8" s="40">
        <v>151</v>
      </c>
      <c r="P8" s="40">
        <v>150</v>
      </c>
      <c r="Q8" s="40">
        <v>155</v>
      </c>
      <c r="R8" s="40">
        <v>144</v>
      </c>
      <c r="S8" s="40">
        <v>10</v>
      </c>
      <c r="T8" s="34"/>
      <c r="U8" s="40">
        <v>10</v>
      </c>
      <c r="V8" s="40">
        <v>10</v>
      </c>
      <c r="W8" s="40">
        <v>10</v>
      </c>
      <c r="X8" s="40">
        <v>10</v>
      </c>
      <c r="Y8" s="40">
        <v>10</v>
      </c>
      <c r="Z8" s="34"/>
      <c r="AA8" s="34"/>
      <c r="AB8" s="14"/>
      <c r="AC8" s="14"/>
      <c r="AD8" s="14"/>
      <c r="AE8" s="14">
        <v>60</v>
      </c>
      <c r="AF8" s="14">
        <v>402</v>
      </c>
      <c r="AG8" s="34"/>
      <c r="AH8" s="34"/>
      <c r="AI8" s="14">
        <v>508</v>
      </c>
      <c r="AJ8" s="14">
        <v>481</v>
      </c>
      <c r="AK8" s="14">
        <v>508</v>
      </c>
      <c r="AM8" s="19">
        <f>F8*1.73</f>
        <v>6141.5</v>
      </c>
    </row>
    <row r="9" spans="1:42" ht="19.95" customHeight="1" x14ac:dyDescent="0.3">
      <c r="A9" s="1">
        <v>7</v>
      </c>
      <c r="B9" s="2" t="s">
        <v>41</v>
      </c>
      <c r="C9" s="24"/>
      <c r="D9" s="6" t="s">
        <v>28</v>
      </c>
      <c r="E9" s="8"/>
      <c r="F9" s="12">
        <f t="shared" si="0"/>
        <v>0</v>
      </c>
      <c r="G9" s="14"/>
      <c r="H9" s="14"/>
      <c r="I9" s="14"/>
      <c r="J9" s="14"/>
      <c r="K9" s="22"/>
      <c r="L9" s="41"/>
      <c r="M9" s="34"/>
      <c r="N9" s="14"/>
      <c r="O9" s="14"/>
      <c r="P9" s="14"/>
      <c r="Q9" s="14"/>
      <c r="R9" s="14"/>
      <c r="S9" s="34"/>
      <c r="T9" s="34"/>
      <c r="U9" s="14"/>
      <c r="V9" s="14"/>
      <c r="W9" s="14"/>
      <c r="X9" s="14"/>
      <c r="Y9" s="14"/>
      <c r="Z9" s="34"/>
      <c r="AA9" s="34"/>
      <c r="AB9" s="14"/>
      <c r="AC9" s="14"/>
      <c r="AD9" s="14"/>
      <c r="AE9" s="14">
        <v>0</v>
      </c>
      <c r="AF9" s="14">
        <v>0</v>
      </c>
      <c r="AG9" s="34"/>
      <c r="AH9" s="34"/>
      <c r="AI9" s="14">
        <v>0</v>
      </c>
      <c r="AJ9" s="14">
        <v>0</v>
      </c>
      <c r="AK9" s="14">
        <v>0</v>
      </c>
      <c r="AM9" s="19">
        <f>F9*1.73</f>
        <v>0</v>
      </c>
    </row>
    <row r="10" spans="1:42" ht="19.95" customHeight="1" x14ac:dyDescent="0.3">
      <c r="A10" s="1">
        <v>8</v>
      </c>
      <c r="B10" s="2" t="s">
        <v>18</v>
      </c>
      <c r="C10" s="24">
        <v>2160</v>
      </c>
      <c r="D10" s="6" t="s">
        <v>29</v>
      </c>
      <c r="E10" s="8">
        <f t="shared" si="1"/>
        <v>538</v>
      </c>
      <c r="F10" s="12">
        <f t="shared" si="0"/>
        <v>1622</v>
      </c>
      <c r="G10" s="14"/>
      <c r="H10" s="14"/>
      <c r="I10" s="14"/>
      <c r="J10" s="14"/>
      <c r="K10" s="22"/>
      <c r="L10" s="41"/>
      <c r="M10" s="34"/>
      <c r="N10" s="14"/>
      <c r="O10" s="14"/>
      <c r="P10" s="14"/>
      <c r="Q10" s="14"/>
      <c r="R10" s="14"/>
      <c r="S10" s="34"/>
      <c r="T10" s="34"/>
      <c r="U10" s="14"/>
      <c r="V10" s="14"/>
      <c r="W10" s="14"/>
      <c r="X10" s="14"/>
      <c r="Y10" s="14"/>
      <c r="Z10" s="34"/>
      <c r="AA10" s="34"/>
      <c r="AB10" s="14"/>
      <c r="AC10" s="14"/>
      <c r="AD10" s="14"/>
      <c r="AE10" s="14">
        <v>153</v>
      </c>
      <c r="AF10" s="14">
        <v>360</v>
      </c>
      <c r="AG10" s="34"/>
      <c r="AH10" s="34"/>
      <c r="AI10" s="14">
        <v>363</v>
      </c>
      <c r="AJ10" s="14">
        <v>369</v>
      </c>
      <c r="AK10" s="14">
        <v>377</v>
      </c>
      <c r="AM10" s="19">
        <f>F10*1.73</f>
        <v>2806.06</v>
      </c>
    </row>
    <row r="11" spans="1:42" ht="19.95" customHeight="1" x14ac:dyDescent="0.3">
      <c r="A11" s="1">
        <v>9</v>
      </c>
      <c r="B11" s="2" t="s">
        <v>36</v>
      </c>
      <c r="C11" s="24">
        <v>2570</v>
      </c>
      <c r="D11" s="6" t="s">
        <v>28</v>
      </c>
      <c r="E11" s="8">
        <f t="shared" si="1"/>
        <v>248</v>
      </c>
      <c r="F11" s="12">
        <f t="shared" si="0"/>
        <v>2322</v>
      </c>
      <c r="G11" s="40">
        <v>75</v>
      </c>
      <c r="H11" s="40">
        <v>79</v>
      </c>
      <c r="I11" s="40">
        <v>78</v>
      </c>
      <c r="J11" s="40">
        <v>82</v>
      </c>
      <c r="K11" s="42">
        <v>76</v>
      </c>
      <c r="L11" s="42">
        <v>15</v>
      </c>
      <c r="M11" s="34"/>
      <c r="N11" s="40">
        <v>75</v>
      </c>
      <c r="O11" s="40">
        <v>76</v>
      </c>
      <c r="P11" s="40">
        <v>91</v>
      </c>
      <c r="Q11" s="40">
        <v>76</v>
      </c>
      <c r="R11" s="40">
        <v>78</v>
      </c>
      <c r="S11" s="40">
        <v>10</v>
      </c>
      <c r="T11" s="34"/>
      <c r="U11" s="40">
        <v>10</v>
      </c>
      <c r="V11" s="40">
        <v>7</v>
      </c>
      <c r="W11" s="40">
        <v>10</v>
      </c>
      <c r="X11" s="40">
        <v>10</v>
      </c>
      <c r="Y11" s="40">
        <v>10</v>
      </c>
      <c r="Z11" s="34"/>
      <c r="AA11" s="34"/>
      <c r="AB11" s="14"/>
      <c r="AC11" s="14"/>
      <c r="AD11" s="14"/>
      <c r="AE11" s="14">
        <v>165</v>
      </c>
      <c r="AF11" s="14">
        <v>187</v>
      </c>
      <c r="AG11" s="34"/>
      <c r="AH11" s="34"/>
      <c r="AI11" s="14">
        <v>185</v>
      </c>
      <c r="AJ11" s="14">
        <v>431</v>
      </c>
      <c r="AK11" s="14">
        <v>496</v>
      </c>
      <c r="AM11" s="19">
        <f>F11*5.75</f>
        <v>13351.5</v>
      </c>
    </row>
    <row r="12" spans="1:42" ht="19.95" customHeight="1" x14ac:dyDescent="0.3">
      <c r="A12" s="1">
        <v>10</v>
      </c>
      <c r="B12" s="2" t="s">
        <v>20</v>
      </c>
      <c r="C12" s="24">
        <v>2750</v>
      </c>
      <c r="D12" s="6" t="s">
        <v>27</v>
      </c>
      <c r="E12" s="8">
        <f t="shared" si="1"/>
        <v>692</v>
      </c>
      <c r="F12" s="12">
        <f t="shared" si="0"/>
        <v>2058</v>
      </c>
      <c r="G12" s="40">
        <v>75</v>
      </c>
      <c r="H12" s="40">
        <v>78</v>
      </c>
      <c r="I12" s="40">
        <v>64</v>
      </c>
      <c r="J12" s="40">
        <v>70</v>
      </c>
      <c r="K12" s="42">
        <v>76</v>
      </c>
      <c r="L12" s="42">
        <v>10</v>
      </c>
      <c r="M12" s="34"/>
      <c r="N12" s="40">
        <v>77</v>
      </c>
      <c r="O12" s="40">
        <v>68</v>
      </c>
      <c r="P12" s="40">
        <v>60</v>
      </c>
      <c r="Q12" s="40">
        <v>67</v>
      </c>
      <c r="R12" s="40">
        <v>71</v>
      </c>
      <c r="S12" s="40">
        <v>10</v>
      </c>
      <c r="T12" s="34"/>
      <c r="U12" s="40">
        <v>10</v>
      </c>
      <c r="V12" s="40">
        <v>10</v>
      </c>
      <c r="W12" s="40">
        <v>10</v>
      </c>
      <c r="X12" s="40">
        <v>10</v>
      </c>
      <c r="Y12" s="40">
        <v>10</v>
      </c>
      <c r="Z12" s="34"/>
      <c r="AA12" s="34"/>
      <c r="AB12" s="14"/>
      <c r="AC12" s="14"/>
      <c r="AD12" s="14"/>
      <c r="AE12" s="14">
        <v>134</v>
      </c>
      <c r="AF12" s="14">
        <v>183</v>
      </c>
      <c r="AG12" s="34"/>
      <c r="AH12" s="34"/>
      <c r="AI12" s="14">
        <v>205</v>
      </c>
      <c r="AJ12" s="14">
        <v>287</v>
      </c>
      <c r="AK12" s="14">
        <v>473</v>
      </c>
      <c r="AM12" s="19">
        <f>F12*5.75</f>
        <v>11833.5</v>
      </c>
      <c r="AP12" s="21"/>
    </row>
    <row r="13" spans="1:42" ht="19.95" customHeight="1" x14ac:dyDescent="0.3">
      <c r="A13" s="1">
        <v>11</v>
      </c>
      <c r="B13" s="2" t="s">
        <v>21</v>
      </c>
      <c r="C13" s="24">
        <v>2200</v>
      </c>
      <c r="D13" s="6" t="s">
        <v>27</v>
      </c>
      <c r="E13" s="8">
        <f t="shared" si="1"/>
        <v>221</v>
      </c>
      <c r="F13" s="12">
        <f t="shared" si="0"/>
        <v>1979</v>
      </c>
      <c r="G13" s="40">
        <v>100</v>
      </c>
      <c r="H13" s="40">
        <v>100</v>
      </c>
      <c r="I13" s="40">
        <v>100</v>
      </c>
      <c r="J13" s="40">
        <v>100</v>
      </c>
      <c r="K13" s="42">
        <v>100</v>
      </c>
      <c r="L13" s="41"/>
      <c r="M13" s="34"/>
      <c r="N13" s="40">
        <v>100</v>
      </c>
      <c r="O13" s="40">
        <v>100</v>
      </c>
      <c r="P13" s="40">
        <v>100</v>
      </c>
      <c r="Q13" s="40">
        <v>100</v>
      </c>
      <c r="R13" s="40">
        <v>100</v>
      </c>
      <c r="S13" s="40">
        <v>0</v>
      </c>
      <c r="T13" s="34"/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34"/>
      <c r="AA13" s="34"/>
      <c r="AB13" s="14"/>
      <c r="AC13" s="14"/>
      <c r="AD13" s="14"/>
      <c r="AE13" s="14">
        <v>120</v>
      </c>
      <c r="AF13" s="14">
        <v>127</v>
      </c>
      <c r="AG13" s="34"/>
      <c r="AH13" s="34"/>
      <c r="AI13" s="14">
        <v>120</v>
      </c>
      <c r="AJ13" s="14">
        <v>296</v>
      </c>
      <c r="AK13" s="14">
        <v>316</v>
      </c>
      <c r="AM13" s="19">
        <f>F13*4.95</f>
        <v>9796.0500000000011</v>
      </c>
    </row>
    <row r="14" spans="1:42" ht="19.95" customHeight="1" x14ac:dyDescent="0.3">
      <c r="A14" s="1">
        <v>12</v>
      </c>
      <c r="B14" s="2" t="s">
        <v>34</v>
      </c>
      <c r="C14" s="24">
        <v>2400</v>
      </c>
      <c r="D14" s="6" t="s">
        <v>27</v>
      </c>
      <c r="E14" s="8">
        <f t="shared" si="1"/>
        <v>120</v>
      </c>
      <c r="F14" s="12">
        <f t="shared" si="0"/>
        <v>2280</v>
      </c>
      <c r="G14" s="14"/>
      <c r="H14" s="14"/>
      <c r="I14" s="14"/>
      <c r="J14" s="14"/>
      <c r="K14" s="22"/>
      <c r="L14" s="41"/>
      <c r="M14" s="34"/>
      <c r="N14" s="14"/>
      <c r="O14" s="14"/>
      <c r="P14" s="14"/>
      <c r="Q14" s="40">
        <v>96</v>
      </c>
      <c r="R14" s="14"/>
      <c r="S14" s="34"/>
      <c r="T14" s="34"/>
      <c r="U14" s="14"/>
      <c r="V14" s="14"/>
      <c r="W14" s="14"/>
      <c r="X14" s="14"/>
      <c r="Y14" s="14"/>
      <c r="Z14" s="34"/>
      <c r="AA14" s="34"/>
      <c r="AB14" s="14"/>
      <c r="AC14" s="14"/>
      <c r="AD14" s="14"/>
      <c r="AE14" s="14">
        <v>197</v>
      </c>
      <c r="AF14" s="14">
        <v>498</v>
      </c>
      <c r="AG14" s="34"/>
      <c r="AH14" s="34"/>
      <c r="AI14" s="14">
        <v>495</v>
      </c>
      <c r="AJ14" s="14">
        <v>498</v>
      </c>
      <c r="AK14" s="14">
        <v>496</v>
      </c>
      <c r="AM14" s="19">
        <f>F14*1.75</f>
        <v>3990</v>
      </c>
    </row>
    <row r="15" spans="1:42" ht="19.95" customHeight="1" x14ac:dyDescent="0.3">
      <c r="A15" s="1">
        <v>13</v>
      </c>
      <c r="B15" s="2" t="s">
        <v>35</v>
      </c>
      <c r="C15" s="24"/>
      <c r="D15" s="6" t="s">
        <v>28</v>
      </c>
      <c r="E15" s="8">
        <f t="shared" si="1"/>
        <v>-662</v>
      </c>
      <c r="F15" s="12">
        <f t="shared" si="0"/>
        <v>662</v>
      </c>
      <c r="G15" s="14"/>
      <c r="H15" s="14"/>
      <c r="I15" s="14"/>
      <c r="J15" s="14"/>
      <c r="K15" s="22"/>
      <c r="L15" s="41"/>
      <c r="M15" s="34"/>
      <c r="N15" s="14"/>
      <c r="O15" s="14"/>
      <c r="P15" s="14"/>
      <c r="Q15" s="14"/>
      <c r="R15" s="14"/>
      <c r="S15" s="34"/>
      <c r="T15" s="34"/>
      <c r="U15" s="14"/>
      <c r="V15" s="14"/>
      <c r="W15" s="14"/>
      <c r="X15" s="14"/>
      <c r="Y15" s="14"/>
      <c r="Z15" s="34"/>
      <c r="AA15" s="34"/>
      <c r="AB15" s="14"/>
      <c r="AC15" s="14"/>
      <c r="AD15" s="14"/>
      <c r="AE15" s="14">
        <v>200</v>
      </c>
      <c r="AF15" s="14">
        <v>94</v>
      </c>
      <c r="AG15" s="34"/>
      <c r="AH15" s="34"/>
      <c r="AI15" s="14">
        <v>117</v>
      </c>
      <c r="AJ15" s="14">
        <v>123</v>
      </c>
      <c r="AK15" s="14">
        <v>128</v>
      </c>
      <c r="AM15" s="19">
        <f>F15*14.95</f>
        <v>9896.9</v>
      </c>
    </row>
    <row r="16" spans="1:42" ht="19.95" customHeight="1" x14ac:dyDescent="0.3">
      <c r="A16" s="1">
        <v>14</v>
      </c>
      <c r="B16" s="2" t="s">
        <v>22</v>
      </c>
      <c r="C16" s="24"/>
      <c r="D16" s="6" t="s">
        <v>27</v>
      </c>
      <c r="E16" s="8">
        <f t="shared" si="1"/>
        <v>-741</v>
      </c>
      <c r="F16" s="12">
        <f t="shared" si="0"/>
        <v>741</v>
      </c>
      <c r="G16" s="14"/>
      <c r="H16" s="14"/>
      <c r="I16" s="14"/>
      <c r="J16" s="14"/>
      <c r="K16" s="22"/>
      <c r="L16" s="41"/>
      <c r="M16" s="34"/>
      <c r="N16" s="14"/>
      <c r="O16" s="14"/>
      <c r="P16" s="14"/>
      <c r="Q16" s="14"/>
      <c r="R16" s="14"/>
      <c r="S16" s="34"/>
      <c r="T16" s="34"/>
      <c r="U16" s="14"/>
      <c r="V16" s="14"/>
      <c r="W16" s="14"/>
      <c r="X16" s="14"/>
      <c r="Y16" s="14"/>
      <c r="Z16" s="34"/>
      <c r="AA16" s="34"/>
      <c r="AB16" s="14"/>
      <c r="AC16" s="14"/>
      <c r="AD16" s="14"/>
      <c r="AE16" s="14">
        <v>118</v>
      </c>
      <c r="AF16" s="14">
        <v>151</v>
      </c>
      <c r="AG16" s="34"/>
      <c r="AH16" s="34"/>
      <c r="AI16" s="14">
        <v>150</v>
      </c>
      <c r="AJ16" s="14">
        <v>150</v>
      </c>
      <c r="AK16" s="14">
        <v>172</v>
      </c>
      <c r="AM16" s="19">
        <f>F16*18.29</f>
        <v>13552.89</v>
      </c>
    </row>
    <row r="17" spans="1:39" ht="19.95" customHeight="1" x14ac:dyDescent="0.3">
      <c r="A17" s="1">
        <v>15</v>
      </c>
      <c r="B17" s="2" t="s">
        <v>23</v>
      </c>
      <c r="C17" s="24">
        <v>4000</v>
      </c>
      <c r="D17" s="6" t="s">
        <v>27</v>
      </c>
      <c r="E17" s="8">
        <f t="shared" si="1"/>
        <v>113</v>
      </c>
      <c r="F17" s="12">
        <f t="shared" si="0"/>
        <v>3887</v>
      </c>
      <c r="G17" s="40">
        <v>150</v>
      </c>
      <c r="H17" s="40">
        <v>150</v>
      </c>
      <c r="I17" s="40">
        <v>150</v>
      </c>
      <c r="J17" s="40">
        <v>150</v>
      </c>
      <c r="K17" s="42">
        <v>150</v>
      </c>
      <c r="L17" s="42">
        <v>10</v>
      </c>
      <c r="M17" s="34"/>
      <c r="N17" s="40">
        <v>150</v>
      </c>
      <c r="O17" s="40">
        <v>150</v>
      </c>
      <c r="P17" s="40">
        <v>150</v>
      </c>
      <c r="Q17" s="40">
        <v>150</v>
      </c>
      <c r="R17" s="40">
        <v>150</v>
      </c>
      <c r="S17" s="40">
        <v>10</v>
      </c>
      <c r="T17" s="34"/>
      <c r="U17" s="40">
        <v>150</v>
      </c>
      <c r="V17" s="40">
        <v>110</v>
      </c>
      <c r="W17" s="40">
        <v>10</v>
      </c>
      <c r="X17" s="40">
        <v>10</v>
      </c>
      <c r="Y17" s="40">
        <v>10</v>
      </c>
      <c r="Z17" s="34"/>
      <c r="AA17" s="34"/>
      <c r="AB17" s="14"/>
      <c r="AC17" s="14"/>
      <c r="AD17" s="14"/>
      <c r="AE17" s="14">
        <v>134</v>
      </c>
      <c r="AF17" s="14">
        <v>266</v>
      </c>
      <c r="AG17" s="34"/>
      <c r="AH17" s="34"/>
      <c r="AI17" s="14">
        <v>573</v>
      </c>
      <c r="AJ17" s="14">
        <v>548</v>
      </c>
      <c r="AK17" s="14">
        <v>556</v>
      </c>
      <c r="AM17" s="19">
        <f>F17*10.99</f>
        <v>42718.13</v>
      </c>
    </row>
    <row r="18" spans="1:39" ht="19.95" customHeight="1" x14ac:dyDescent="0.3">
      <c r="A18" s="1">
        <v>16</v>
      </c>
      <c r="B18" s="2" t="s">
        <v>50</v>
      </c>
      <c r="C18" s="24" t="s">
        <v>51</v>
      </c>
      <c r="D18" s="9"/>
      <c r="E18" s="10"/>
      <c r="F18" s="12">
        <f t="shared" si="0"/>
        <v>10</v>
      </c>
      <c r="G18" s="14"/>
      <c r="H18" s="14"/>
      <c r="I18" s="14"/>
      <c r="J18" s="14"/>
      <c r="K18" s="22"/>
      <c r="L18" s="41"/>
      <c r="M18" s="34"/>
      <c r="N18" s="14"/>
      <c r="O18" s="14"/>
      <c r="P18" s="14"/>
      <c r="Q18" s="14"/>
      <c r="R18" s="14"/>
      <c r="S18" s="34"/>
      <c r="T18" s="34"/>
      <c r="U18" s="14"/>
      <c r="V18" s="14"/>
      <c r="W18" s="14"/>
      <c r="X18" s="14"/>
      <c r="Y18" s="14"/>
      <c r="Z18" s="34"/>
      <c r="AA18" s="34"/>
      <c r="AB18" s="14"/>
      <c r="AC18" s="14"/>
      <c r="AD18" s="14"/>
      <c r="AE18" s="40">
        <v>2</v>
      </c>
      <c r="AF18" s="40">
        <v>2</v>
      </c>
      <c r="AG18" s="34"/>
      <c r="AH18" s="34"/>
      <c r="AI18" s="40">
        <v>2</v>
      </c>
      <c r="AJ18" s="40">
        <v>2</v>
      </c>
      <c r="AK18" s="40">
        <v>2</v>
      </c>
      <c r="AM18" s="26"/>
    </row>
    <row r="19" spans="1:39" ht="19.95" customHeight="1" x14ac:dyDescent="0.3">
      <c r="A19" s="30"/>
      <c r="B19" s="31"/>
      <c r="C19" s="32"/>
      <c r="D19" s="9"/>
      <c r="E19" s="10"/>
      <c r="F19" s="13"/>
      <c r="G19" s="14"/>
      <c r="H19" s="14"/>
      <c r="I19" s="14"/>
      <c r="J19" s="14"/>
      <c r="K19" s="22"/>
      <c r="L19" s="41"/>
      <c r="M19" s="34"/>
      <c r="N19" s="14"/>
      <c r="O19" s="14"/>
      <c r="P19" s="14"/>
      <c r="Q19" s="14"/>
      <c r="R19" s="14"/>
      <c r="S19" s="34"/>
      <c r="T19" s="34"/>
      <c r="U19" s="14"/>
      <c r="V19" s="14"/>
      <c r="W19" s="14"/>
      <c r="X19" s="14"/>
      <c r="Y19" s="14"/>
      <c r="Z19" s="34"/>
      <c r="AA19" s="34"/>
      <c r="AB19" s="14"/>
      <c r="AC19" s="14"/>
      <c r="AD19" s="14"/>
      <c r="AE19" s="14"/>
      <c r="AF19" s="14"/>
      <c r="AG19" s="34"/>
      <c r="AH19" s="34"/>
      <c r="AI19" s="14"/>
      <c r="AJ19" s="14"/>
      <c r="AK19" s="14"/>
      <c r="AM19" s="26"/>
    </row>
    <row r="20" spans="1:39" ht="19.95" customHeight="1" x14ac:dyDescent="0.3">
      <c r="A20" s="48" t="s">
        <v>43</v>
      </c>
      <c r="B20" s="49"/>
      <c r="C20" s="27"/>
      <c r="D20" s="9"/>
      <c r="E20" s="10"/>
      <c r="F20" s="12">
        <f>AK20+AJ20+AI20+AH20+AG20+AF20+AE20+AD20+AC20+AB20+AA20+Z20+Y20+X20+W20+V20+U20+T20+S20+R20+Q20+P20+O20+N20+M20+L20+K20+J20+I20+H20+G20</f>
        <v>0</v>
      </c>
      <c r="G20" s="14"/>
      <c r="H20" s="14"/>
      <c r="I20" s="14"/>
      <c r="J20" s="14"/>
      <c r="K20" s="22"/>
      <c r="L20" s="41"/>
      <c r="M20" s="34"/>
      <c r="N20" s="14"/>
      <c r="O20" s="14"/>
      <c r="P20" s="14"/>
      <c r="Q20" s="14"/>
      <c r="R20" s="14"/>
      <c r="S20" s="34"/>
      <c r="T20" s="34"/>
      <c r="U20" s="14"/>
      <c r="V20" s="14"/>
      <c r="W20" s="14"/>
      <c r="X20" s="14"/>
      <c r="Y20" s="14"/>
      <c r="Z20" s="34"/>
      <c r="AA20" s="34"/>
      <c r="AB20" s="14"/>
      <c r="AC20" s="14"/>
      <c r="AD20" s="14"/>
      <c r="AE20" s="14"/>
      <c r="AF20" s="14"/>
      <c r="AG20" s="34"/>
      <c r="AH20" s="34"/>
      <c r="AI20" s="14"/>
      <c r="AJ20" s="14"/>
      <c r="AK20" s="14"/>
      <c r="AM20" s="26"/>
    </row>
    <row r="21" spans="1:39" ht="19.95" customHeight="1" x14ac:dyDescent="0.3">
      <c r="A21" s="1"/>
      <c r="B21" s="28" t="s">
        <v>44</v>
      </c>
      <c r="C21" s="24"/>
      <c r="D21" s="9"/>
      <c r="E21" s="10"/>
      <c r="F21" s="12">
        <f>AK21+AJ21+AI21+AH21+AG21+AF21+AE21+AD21+AC21+AB21+AA21+Z21+Y21+X21+W21+V21+U21+T21+S21+R21+Q21+P21+O21+N21+M21+L21+K21+J21+I21+H21+G21</f>
        <v>0</v>
      </c>
      <c r="G21" s="14"/>
      <c r="H21" s="14"/>
      <c r="I21" s="14"/>
      <c r="J21" s="14"/>
      <c r="K21" s="22"/>
      <c r="L21" s="41"/>
      <c r="M21" s="34"/>
      <c r="N21" s="14"/>
      <c r="O21" s="14"/>
      <c r="P21" s="14"/>
      <c r="Q21" s="14"/>
      <c r="R21" s="14"/>
      <c r="S21" s="34"/>
      <c r="T21" s="34"/>
      <c r="U21" s="14"/>
      <c r="V21" s="14"/>
      <c r="W21" s="14"/>
      <c r="X21" s="14"/>
      <c r="Y21" s="14"/>
      <c r="Z21" s="34"/>
      <c r="AA21" s="34"/>
      <c r="AB21" s="14"/>
      <c r="AC21" s="14"/>
      <c r="AD21" s="14"/>
      <c r="AE21" s="14"/>
      <c r="AF21" s="14"/>
      <c r="AG21" s="34"/>
      <c r="AH21" s="34"/>
      <c r="AI21" s="14"/>
      <c r="AJ21" s="14"/>
      <c r="AK21" s="14"/>
      <c r="AM21" s="26"/>
    </row>
    <row r="22" spans="1:39" ht="19.95" customHeight="1" x14ac:dyDescent="0.3">
      <c r="A22" s="1"/>
      <c r="B22" s="28" t="s">
        <v>45</v>
      </c>
      <c r="C22" s="24"/>
      <c r="D22" s="9"/>
      <c r="E22" s="10"/>
      <c r="F22" s="12">
        <f>AK22+AJ22+AI22+AH22+AG22+AF22+AE22+AD22+AC22+AB22+AA22+Z22+Y22+X22+W22+V22+U22+T22+S22+R22+Q22+P22+O22+N22+M22+L22+K22+J22+I22+H22+G22</f>
        <v>0</v>
      </c>
      <c r="G22" s="14"/>
      <c r="H22" s="14"/>
      <c r="I22" s="14"/>
      <c r="J22" s="14"/>
      <c r="K22" s="22"/>
      <c r="L22" s="41"/>
      <c r="M22" s="34"/>
      <c r="N22" s="14"/>
      <c r="O22" s="14"/>
      <c r="P22" s="14"/>
      <c r="Q22" s="14"/>
      <c r="R22" s="14"/>
      <c r="S22" s="34"/>
      <c r="T22" s="34"/>
      <c r="U22" s="14"/>
      <c r="V22" s="14"/>
      <c r="W22" s="14"/>
      <c r="X22" s="14"/>
      <c r="Y22" s="14"/>
      <c r="Z22" s="34"/>
      <c r="AA22" s="34"/>
      <c r="AB22" s="14"/>
      <c r="AC22" s="14"/>
      <c r="AD22" s="14"/>
      <c r="AE22" s="14"/>
      <c r="AF22" s="14"/>
      <c r="AG22" s="34"/>
      <c r="AH22" s="34"/>
      <c r="AI22" s="14"/>
      <c r="AJ22" s="14"/>
      <c r="AK22" s="14"/>
      <c r="AM22" s="26"/>
    </row>
    <row r="23" spans="1:39" ht="19.95" customHeight="1" x14ac:dyDescent="0.3">
      <c r="A23" s="1"/>
      <c r="B23" s="28" t="s">
        <v>46</v>
      </c>
      <c r="C23" s="24"/>
      <c r="D23" s="9"/>
      <c r="E23" s="10"/>
      <c r="F23" s="12">
        <f>AK23+AJ23+AI23+AH23+AG23+AF23+AE23+AD23+AC23+AB23+AA23+Z23+Y23+X23+W23+V23+U23+T23+S23+R23+Q23+P23+O23+N23+M23+L23+K23+J23+I23+H23+G23</f>
        <v>0</v>
      </c>
      <c r="G23" s="14"/>
      <c r="H23" s="14"/>
      <c r="I23" s="14"/>
      <c r="J23" s="14"/>
      <c r="K23" s="22"/>
      <c r="L23" s="41"/>
      <c r="M23" s="34"/>
      <c r="N23" s="14"/>
      <c r="O23" s="14"/>
      <c r="P23" s="14"/>
      <c r="Q23" s="14"/>
      <c r="R23" s="14"/>
      <c r="S23" s="34"/>
      <c r="T23" s="34"/>
      <c r="U23" s="14"/>
      <c r="V23" s="14"/>
      <c r="W23" s="14"/>
      <c r="X23" s="14"/>
      <c r="Y23" s="14"/>
      <c r="Z23" s="34"/>
      <c r="AA23" s="34"/>
      <c r="AB23" s="14"/>
      <c r="AC23" s="14"/>
      <c r="AD23" s="14"/>
      <c r="AE23" s="14"/>
      <c r="AF23" s="14"/>
      <c r="AG23" s="34"/>
      <c r="AH23" s="34"/>
      <c r="AI23" s="14"/>
      <c r="AJ23" s="14"/>
      <c r="AK23" s="14"/>
      <c r="AM23" s="26"/>
    </row>
    <row r="24" spans="1:39" ht="19.95" customHeight="1" x14ac:dyDescent="0.3">
      <c r="A24" s="1"/>
      <c r="B24" s="28" t="s">
        <v>47</v>
      </c>
      <c r="C24" s="24"/>
      <c r="D24" s="9"/>
      <c r="E24" s="10"/>
      <c r="F24" s="12"/>
      <c r="G24" s="14"/>
      <c r="H24" s="14"/>
      <c r="I24" s="14"/>
      <c r="J24" s="14"/>
      <c r="K24" s="22"/>
      <c r="L24" s="41"/>
      <c r="M24" s="34"/>
      <c r="N24" s="14"/>
      <c r="O24" s="14"/>
      <c r="P24" s="14"/>
      <c r="Q24" s="14"/>
      <c r="R24" s="14"/>
      <c r="S24" s="34"/>
      <c r="T24" s="34"/>
      <c r="U24" s="14"/>
      <c r="V24" s="14"/>
      <c r="W24" s="14"/>
      <c r="X24" s="14"/>
      <c r="Y24" s="14"/>
      <c r="Z24" s="34"/>
      <c r="AA24" s="34"/>
      <c r="AB24" s="14"/>
      <c r="AC24" s="14"/>
      <c r="AD24" s="14"/>
      <c r="AE24" s="14"/>
      <c r="AF24" s="14"/>
      <c r="AG24" s="34"/>
      <c r="AH24" s="34"/>
      <c r="AI24" s="14"/>
      <c r="AJ24" s="14"/>
      <c r="AK24" s="14"/>
      <c r="AM24" s="26"/>
    </row>
    <row r="25" spans="1:39" ht="19.95" customHeight="1" x14ac:dyDescent="0.3">
      <c r="A25" s="1"/>
      <c r="B25" s="28" t="s">
        <v>53</v>
      </c>
      <c r="C25" s="24"/>
      <c r="D25" s="9"/>
      <c r="E25" s="10"/>
      <c r="F25" s="12"/>
      <c r="G25" s="14"/>
      <c r="H25" s="14"/>
      <c r="I25" s="14"/>
      <c r="J25" s="14"/>
      <c r="K25" s="22"/>
      <c r="L25" s="41"/>
      <c r="M25" s="34"/>
      <c r="N25" s="14"/>
      <c r="O25" s="14"/>
      <c r="P25" s="14"/>
      <c r="Q25" s="14"/>
      <c r="R25" s="14"/>
      <c r="S25" s="34"/>
      <c r="T25" s="34"/>
      <c r="U25" s="14"/>
      <c r="V25" s="14"/>
      <c r="W25" s="14"/>
      <c r="X25" s="14"/>
      <c r="Y25" s="14"/>
      <c r="Z25" s="34"/>
      <c r="AA25" s="34"/>
      <c r="AB25" s="14"/>
      <c r="AC25" s="14"/>
      <c r="AD25" s="14"/>
      <c r="AE25" s="14"/>
      <c r="AF25" s="14"/>
      <c r="AG25" s="34"/>
      <c r="AH25" s="34"/>
      <c r="AI25" s="14"/>
      <c r="AJ25" s="14"/>
      <c r="AK25" s="14"/>
      <c r="AM25" s="26"/>
    </row>
    <row r="26" spans="1:39" ht="19.95" customHeight="1" x14ac:dyDescent="0.3">
      <c r="A26" s="1"/>
      <c r="B26" s="28" t="s">
        <v>48</v>
      </c>
      <c r="C26" s="24"/>
      <c r="D26" s="9"/>
      <c r="E26" s="10"/>
      <c r="F26" s="12"/>
      <c r="G26" s="14"/>
      <c r="H26" s="14"/>
      <c r="I26" s="14"/>
      <c r="J26" s="14"/>
      <c r="K26" s="22"/>
      <c r="L26" s="41"/>
      <c r="M26" s="34"/>
      <c r="N26" s="14"/>
      <c r="O26" s="14"/>
      <c r="P26" s="14"/>
      <c r="Q26" s="14"/>
      <c r="R26" s="14"/>
      <c r="S26" s="34"/>
      <c r="T26" s="34"/>
      <c r="U26" s="14"/>
      <c r="V26" s="14"/>
      <c r="W26" s="14"/>
      <c r="X26" s="14"/>
      <c r="Y26" s="14"/>
      <c r="Z26" s="34"/>
      <c r="AA26" s="34"/>
      <c r="AB26" s="14"/>
      <c r="AC26" s="14"/>
      <c r="AD26" s="14"/>
      <c r="AE26" s="14"/>
      <c r="AF26" s="14"/>
      <c r="AG26" s="34"/>
      <c r="AH26" s="34"/>
      <c r="AI26" s="14"/>
      <c r="AJ26" s="14"/>
      <c r="AK26" s="14"/>
      <c r="AM26" s="26"/>
    </row>
    <row r="27" spans="1:39" ht="19.95" customHeight="1" x14ac:dyDescent="0.3">
      <c r="A27" s="17"/>
      <c r="B27" s="29" t="s">
        <v>49</v>
      </c>
      <c r="C27" s="24"/>
      <c r="D27" s="9"/>
      <c r="E27" s="10"/>
      <c r="F27" s="12">
        <f t="shared" ref="F27:F40" si="2">AK27+AJ27+AI27+AH27+AG27+AF27+AE27+AD27+AC27+AB27+AA27+Z27+Y27+X27+W27+V27+U27+T27+S27+R27+Q27+P27+O27+N27+M27+L27+K27+J27+I27+H27+G27</f>
        <v>0</v>
      </c>
      <c r="G27" s="14"/>
      <c r="H27" s="14"/>
      <c r="I27" s="14"/>
      <c r="J27" s="14"/>
      <c r="K27" s="22"/>
      <c r="L27" s="41"/>
      <c r="M27" s="34"/>
      <c r="N27" s="14"/>
      <c r="O27" s="14"/>
      <c r="P27" s="14"/>
      <c r="Q27" s="14"/>
      <c r="R27" s="14"/>
      <c r="S27" s="34"/>
      <c r="T27" s="34"/>
      <c r="U27" s="14"/>
      <c r="V27" s="14"/>
      <c r="W27" s="14"/>
      <c r="X27" s="14"/>
      <c r="Y27" s="14"/>
      <c r="Z27" s="34"/>
      <c r="AA27" s="34"/>
      <c r="AB27" s="14"/>
      <c r="AC27" s="14"/>
      <c r="AD27" s="14"/>
      <c r="AE27" s="14"/>
      <c r="AF27" s="14"/>
      <c r="AG27" s="34"/>
      <c r="AH27" s="34"/>
      <c r="AI27" s="14"/>
      <c r="AJ27" s="14"/>
      <c r="AK27" s="14"/>
      <c r="AM27" s="20">
        <f>SUM(AM3:AM17)</f>
        <v>254760.63999999996</v>
      </c>
    </row>
    <row r="28" spans="1:39" ht="19.95" customHeight="1" x14ac:dyDescent="0.3">
      <c r="A28" s="1">
        <v>16</v>
      </c>
      <c r="B28" s="35" t="s">
        <v>25</v>
      </c>
      <c r="C28" s="36"/>
      <c r="D28" s="18" t="s">
        <v>7</v>
      </c>
      <c r="E28" s="18">
        <f t="shared" ref="E28:E35" si="3">C28-F28</f>
        <v>-16</v>
      </c>
      <c r="F28" s="12">
        <f t="shared" si="2"/>
        <v>16</v>
      </c>
      <c r="G28" s="14"/>
      <c r="H28" s="14"/>
      <c r="I28" s="14"/>
      <c r="J28" s="14"/>
      <c r="K28" s="22"/>
      <c r="L28" s="41"/>
      <c r="M28" s="34"/>
      <c r="N28" s="14"/>
      <c r="O28" s="14"/>
      <c r="P28" s="14"/>
      <c r="Q28" s="14"/>
      <c r="R28" s="14"/>
      <c r="S28" s="34"/>
      <c r="T28" s="34"/>
      <c r="U28" s="14"/>
      <c r="V28" s="14"/>
      <c r="W28" s="14"/>
      <c r="X28" s="14"/>
      <c r="Y28" s="14"/>
      <c r="Z28" s="34"/>
      <c r="AA28" s="34"/>
      <c r="AB28" s="14"/>
      <c r="AC28" s="14"/>
      <c r="AD28" s="14"/>
      <c r="AE28" s="14"/>
      <c r="AF28" s="14"/>
      <c r="AG28" s="34"/>
      <c r="AH28" s="34"/>
      <c r="AI28" s="14">
        <v>8</v>
      </c>
      <c r="AJ28" s="14"/>
      <c r="AK28" s="14">
        <v>8</v>
      </c>
    </row>
    <row r="29" spans="1:39" ht="19.95" customHeight="1" x14ac:dyDescent="0.3">
      <c r="A29" s="1">
        <v>17</v>
      </c>
      <c r="B29" s="35" t="s">
        <v>24</v>
      </c>
      <c r="C29" s="36"/>
      <c r="D29" s="18" t="s">
        <v>7</v>
      </c>
      <c r="E29" s="18">
        <f t="shared" si="3"/>
        <v>-8</v>
      </c>
      <c r="F29" s="12">
        <f t="shared" si="2"/>
        <v>8</v>
      </c>
      <c r="G29" s="14"/>
      <c r="H29" s="14"/>
      <c r="I29" s="14"/>
      <c r="J29" s="14"/>
      <c r="K29" s="22"/>
      <c r="L29" s="41"/>
      <c r="M29" s="34"/>
      <c r="N29" s="14"/>
      <c r="O29" s="14"/>
      <c r="P29" s="14"/>
      <c r="Q29" s="14"/>
      <c r="R29" s="14"/>
      <c r="S29" s="34"/>
      <c r="T29" s="34"/>
      <c r="U29" s="14"/>
      <c r="V29" s="14"/>
      <c r="W29" s="14"/>
      <c r="X29" s="14"/>
      <c r="Y29" s="14"/>
      <c r="Z29" s="34"/>
      <c r="AA29" s="34"/>
      <c r="AB29" s="14"/>
      <c r="AC29" s="14"/>
      <c r="AD29" s="14"/>
      <c r="AE29" s="14">
        <v>8</v>
      </c>
      <c r="AF29" s="14"/>
      <c r="AG29" s="34"/>
      <c r="AH29" s="34"/>
      <c r="AI29" s="14"/>
      <c r="AJ29" s="14"/>
      <c r="AK29" s="14"/>
    </row>
    <row r="30" spans="1:39" ht="19.95" customHeight="1" x14ac:dyDescent="0.3">
      <c r="A30" s="1">
        <v>18</v>
      </c>
      <c r="B30" s="2" t="s">
        <v>26</v>
      </c>
      <c r="C30" s="24"/>
      <c r="D30" s="6" t="s">
        <v>7</v>
      </c>
      <c r="E30" s="8">
        <f t="shared" si="3"/>
        <v>-40</v>
      </c>
      <c r="F30" s="12">
        <f t="shared" si="2"/>
        <v>40</v>
      </c>
      <c r="G30" s="14"/>
      <c r="H30" s="14"/>
      <c r="I30" s="14"/>
      <c r="J30" s="14"/>
      <c r="K30" s="22"/>
      <c r="L30" s="41"/>
      <c r="M30" s="34"/>
      <c r="N30" s="14"/>
      <c r="O30" s="14"/>
      <c r="P30" s="14"/>
      <c r="Q30" s="14"/>
      <c r="R30" s="14"/>
      <c r="S30" s="34"/>
      <c r="T30" s="34"/>
      <c r="U30" s="14"/>
      <c r="V30" s="14"/>
      <c r="W30" s="14"/>
      <c r="X30" s="14"/>
      <c r="Y30" s="14"/>
      <c r="Z30" s="34"/>
      <c r="AA30" s="34"/>
      <c r="AB30" s="14"/>
      <c r="AC30" s="14"/>
      <c r="AD30" s="14"/>
      <c r="AE30" s="14">
        <v>10</v>
      </c>
      <c r="AF30" s="14">
        <v>10</v>
      </c>
      <c r="AG30" s="34"/>
      <c r="AH30" s="34"/>
      <c r="AI30" s="14">
        <v>10</v>
      </c>
      <c r="AJ30" s="14"/>
      <c r="AK30" s="14">
        <v>10</v>
      </c>
    </row>
    <row r="31" spans="1:39" ht="19.95" customHeight="1" x14ac:dyDescent="0.3">
      <c r="A31" s="1">
        <v>19</v>
      </c>
      <c r="B31" s="2" t="s">
        <v>4</v>
      </c>
      <c r="C31" s="24"/>
      <c r="D31" s="6" t="s">
        <v>30</v>
      </c>
      <c r="E31" s="8">
        <f t="shared" si="3"/>
        <v>-60</v>
      </c>
      <c r="F31" s="12">
        <f t="shared" si="2"/>
        <v>60</v>
      </c>
      <c r="G31" s="14"/>
      <c r="H31" s="14"/>
      <c r="I31" s="14"/>
      <c r="J31" s="14"/>
      <c r="K31" s="22"/>
      <c r="L31" s="41"/>
      <c r="M31" s="34"/>
      <c r="N31" s="14"/>
      <c r="O31" s="14"/>
      <c r="P31" s="14"/>
      <c r="Q31" s="14"/>
      <c r="R31" s="14"/>
      <c r="S31" s="34"/>
      <c r="T31" s="34"/>
      <c r="U31" s="14"/>
      <c r="V31" s="14"/>
      <c r="W31" s="14"/>
      <c r="X31" s="14"/>
      <c r="Y31" s="14"/>
      <c r="Z31" s="34"/>
      <c r="AA31" s="34"/>
      <c r="AB31" s="14"/>
      <c r="AC31" s="14"/>
      <c r="AD31" s="14"/>
      <c r="AE31" s="14">
        <v>10</v>
      </c>
      <c r="AF31" s="14">
        <v>10</v>
      </c>
      <c r="AG31" s="34"/>
      <c r="AH31" s="34"/>
      <c r="AI31" s="14">
        <v>20</v>
      </c>
      <c r="AJ31" s="14"/>
      <c r="AK31" s="14">
        <v>20</v>
      </c>
    </row>
    <row r="32" spans="1:39" ht="19.95" customHeight="1" x14ac:dyDescent="0.3">
      <c r="A32" s="1">
        <v>45</v>
      </c>
      <c r="B32" s="2" t="s">
        <v>5</v>
      </c>
      <c r="C32" s="24"/>
      <c r="D32" s="6" t="s">
        <v>30</v>
      </c>
      <c r="E32" s="8">
        <f t="shared" si="3"/>
        <v>-40</v>
      </c>
      <c r="F32" s="12">
        <f t="shared" si="2"/>
        <v>40</v>
      </c>
      <c r="G32" s="14"/>
      <c r="H32" s="14"/>
      <c r="I32" s="14"/>
      <c r="J32" s="14"/>
      <c r="K32" s="22"/>
      <c r="L32" s="41"/>
      <c r="M32" s="34"/>
      <c r="N32" s="14"/>
      <c r="O32" s="14"/>
      <c r="P32" s="14"/>
      <c r="Q32" s="14"/>
      <c r="R32" s="14"/>
      <c r="S32" s="34"/>
      <c r="T32" s="34"/>
      <c r="U32" s="14"/>
      <c r="V32" s="14"/>
      <c r="W32" s="14"/>
      <c r="X32" s="14"/>
      <c r="Y32" s="14"/>
      <c r="Z32" s="34"/>
      <c r="AA32" s="34"/>
      <c r="AB32" s="14"/>
      <c r="AC32" s="14"/>
      <c r="AD32" s="14"/>
      <c r="AE32" s="14"/>
      <c r="AF32" s="14"/>
      <c r="AG32" s="34"/>
      <c r="AH32" s="34"/>
      <c r="AI32" s="14">
        <v>20</v>
      </c>
      <c r="AJ32" s="14"/>
      <c r="AK32" s="14">
        <v>20</v>
      </c>
    </row>
    <row r="33" spans="1:37" ht="19.95" customHeight="1" x14ac:dyDescent="0.3">
      <c r="A33" s="1">
        <v>21</v>
      </c>
      <c r="B33" s="2" t="s">
        <v>3</v>
      </c>
      <c r="C33" s="24"/>
      <c r="D33" s="6" t="s">
        <v>8</v>
      </c>
      <c r="E33" s="8">
        <f t="shared" si="3"/>
        <v>-114</v>
      </c>
      <c r="F33" s="12">
        <f t="shared" si="2"/>
        <v>114</v>
      </c>
      <c r="G33" s="14"/>
      <c r="H33" s="14"/>
      <c r="I33" s="14"/>
      <c r="J33" s="14"/>
      <c r="K33" s="14"/>
      <c r="L33" s="34"/>
      <c r="M33" s="34"/>
      <c r="N33" s="14"/>
      <c r="O33" s="14"/>
      <c r="P33" s="14"/>
      <c r="Q33" s="14"/>
      <c r="R33" s="14"/>
      <c r="S33" s="34"/>
      <c r="T33" s="34"/>
      <c r="U33" s="14"/>
      <c r="V33" s="14"/>
      <c r="W33" s="14"/>
      <c r="X33" s="14"/>
      <c r="Y33" s="14"/>
      <c r="Z33" s="34"/>
      <c r="AA33" s="34"/>
      <c r="AB33" s="14"/>
      <c r="AC33" s="14"/>
      <c r="AD33" s="14"/>
      <c r="AE33" s="40">
        <v>12</v>
      </c>
      <c r="AF33" s="40">
        <v>12</v>
      </c>
      <c r="AG33" s="34"/>
      <c r="AH33" s="34"/>
      <c r="AI33" s="14">
        <v>30</v>
      </c>
      <c r="AJ33" s="14">
        <v>30</v>
      </c>
      <c r="AK33" s="14">
        <v>30</v>
      </c>
    </row>
    <row r="34" spans="1:37" ht="19.95" customHeight="1" x14ac:dyDescent="0.3">
      <c r="A34" s="1">
        <v>22</v>
      </c>
      <c r="B34" s="2" t="s">
        <v>2</v>
      </c>
      <c r="C34" s="24"/>
      <c r="D34" s="6" t="s">
        <v>8</v>
      </c>
      <c r="E34" s="8">
        <f t="shared" si="3"/>
        <v>-114</v>
      </c>
      <c r="F34" s="12">
        <f t="shared" si="2"/>
        <v>114</v>
      </c>
      <c r="G34" s="14"/>
      <c r="H34" s="14"/>
      <c r="I34" s="14"/>
      <c r="J34" s="14"/>
      <c r="K34" s="14"/>
      <c r="L34" s="34"/>
      <c r="M34" s="34"/>
      <c r="N34" s="14"/>
      <c r="O34" s="14"/>
      <c r="P34" s="14"/>
      <c r="Q34" s="14"/>
      <c r="R34" s="14"/>
      <c r="S34" s="34"/>
      <c r="T34" s="34"/>
      <c r="U34" s="14"/>
      <c r="V34" s="14"/>
      <c r="W34" s="14"/>
      <c r="X34" s="14"/>
      <c r="Y34" s="14"/>
      <c r="Z34" s="34"/>
      <c r="AA34" s="34"/>
      <c r="AB34" s="14"/>
      <c r="AC34" s="14"/>
      <c r="AD34" s="14"/>
      <c r="AE34" s="40">
        <v>12</v>
      </c>
      <c r="AF34" s="40">
        <v>12</v>
      </c>
      <c r="AG34" s="34"/>
      <c r="AH34" s="34"/>
      <c r="AI34" s="14">
        <v>30</v>
      </c>
      <c r="AJ34" s="14">
        <v>30</v>
      </c>
      <c r="AK34" s="14">
        <v>30</v>
      </c>
    </row>
    <row r="35" spans="1:37" ht="19.95" customHeight="1" x14ac:dyDescent="0.3">
      <c r="A35" s="1">
        <v>23</v>
      </c>
      <c r="B35" s="35" t="s">
        <v>32</v>
      </c>
      <c r="C35" s="35"/>
      <c r="D35" s="18" t="s">
        <v>33</v>
      </c>
      <c r="E35" s="18">
        <f t="shared" si="3"/>
        <v>0</v>
      </c>
      <c r="F35" s="12">
        <f t="shared" si="2"/>
        <v>0</v>
      </c>
      <c r="G35" s="14"/>
      <c r="H35" s="14"/>
      <c r="I35" s="14"/>
      <c r="J35" s="14"/>
      <c r="K35" s="22"/>
      <c r="L35" s="41"/>
      <c r="M35" s="34"/>
      <c r="N35" s="14"/>
      <c r="O35" s="14"/>
      <c r="P35" s="14"/>
      <c r="Q35" s="14"/>
      <c r="R35" s="14"/>
      <c r="S35" s="34"/>
      <c r="T35" s="34"/>
      <c r="U35" s="14"/>
      <c r="V35" s="14"/>
      <c r="W35" s="14"/>
      <c r="X35" s="14"/>
      <c r="Y35" s="14"/>
      <c r="Z35" s="34"/>
      <c r="AA35" s="34"/>
      <c r="AB35" s="14"/>
      <c r="AC35" s="14"/>
      <c r="AD35" s="14"/>
      <c r="AE35" s="14"/>
      <c r="AF35" s="14"/>
      <c r="AG35" s="34"/>
      <c r="AH35" s="34"/>
      <c r="AI35" s="14"/>
      <c r="AJ35" s="14"/>
      <c r="AK35" s="14"/>
    </row>
    <row r="36" spans="1:37" ht="19.95" customHeight="1" x14ac:dyDescent="0.3">
      <c r="A36" s="1"/>
      <c r="B36" s="23" t="s">
        <v>42</v>
      </c>
      <c r="C36" s="25"/>
      <c r="D36" s="9" t="s">
        <v>7</v>
      </c>
      <c r="E36" s="8"/>
      <c r="F36" s="12">
        <f t="shared" si="2"/>
        <v>0</v>
      </c>
      <c r="G36" s="14"/>
      <c r="H36" s="14"/>
      <c r="I36" s="14"/>
      <c r="J36" s="14"/>
      <c r="K36" s="22"/>
      <c r="L36" s="41"/>
      <c r="M36" s="34"/>
      <c r="N36" s="14"/>
      <c r="O36" s="14"/>
      <c r="P36" s="14"/>
      <c r="Q36" s="14"/>
      <c r="R36" s="14"/>
      <c r="S36" s="34"/>
      <c r="T36" s="34"/>
      <c r="U36" s="14"/>
      <c r="V36" s="14"/>
      <c r="W36" s="14"/>
      <c r="X36" s="14"/>
      <c r="Y36" s="14"/>
      <c r="Z36" s="34"/>
      <c r="AA36" s="34"/>
      <c r="AB36" s="14"/>
      <c r="AC36" s="14"/>
      <c r="AD36" s="14"/>
      <c r="AE36" s="14"/>
      <c r="AF36" s="14"/>
      <c r="AG36" s="34"/>
      <c r="AH36" s="34"/>
      <c r="AI36" s="14"/>
      <c r="AJ36" s="14"/>
      <c r="AK36" s="14"/>
    </row>
    <row r="37" spans="1:37" ht="19.95" customHeight="1" x14ac:dyDescent="0.3">
      <c r="A37" s="1"/>
      <c r="B37" s="2" t="s">
        <v>37</v>
      </c>
      <c r="C37" s="25"/>
      <c r="D37" s="9" t="s">
        <v>7</v>
      </c>
      <c r="E37" s="8"/>
      <c r="F37" s="12">
        <f t="shared" si="2"/>
        <v>0</v>
      </c>
      <c r="G37" s="14"/>
      <c r="H37" s="14"/>
      <c r="I37" s="14"/>
      <c r="J37" s="14"/>
      <c r="K37" s="22"/>
      <c r="L37" s="41"/>
      <c r="M37" s="34"/>
      <c r="N37" s="14"/>
      <c r="O37" s="14"/>
      <c r="P37" s="14"/>
      <c r="Q37" s="14"/>
      <c r="R37" s="14"/>
      <c r="S37" s="34"/>
      <c r="T37" s="34"/>
      <c r="U37" s="14"/>
      <c r="V37" s="14"/>
      <c r="W37" s="14"/>
      <c r="X37" s="14"/>
      <c r="Y37" s="14"/>
      <c r="Z37" s="34"/>
      <c r="AA37" s="34"/>
      <c r="AB37" s="14"/>
      <c r="AC37" s="14"/>
      <c r="AD37" s="14"/>
      <c r="AE37" s="14"/>
      <c r="AF37" s="14"/>
      <c r="AG37" s="34"/>
      <c r="AH37" s="34"/>
      <c r="AI37" s="14"/>
      <c r="AJ37" s="14"/>
      <c r="AK37" s="14"/>
    </row>
    <row r="38" spans="1:37" ht="19.95" customHeight="1" x14ac:dyDescent="0.3">
      <c r="A38" s="1"/>
      <c r="B38" s="2" t="s">
        <v>38</v>
      </c>
      <c r="C38" s="25"/>
      <c r="D38" s="9" t="s">
        <v>7</v>
      </c>
      <c r="E38" s="8"/>
      <c r="F38" s="12">
        <f t="shared" si="2"/>
        <v>0</v>
      </c>
      <c r="G38" s="14"/>
      <c r="H38" s="14"/>
      <c r="I38" s="14"/>
      <c r="J38" s="14"/>
      <c r="K38" s="22"/>
      <c r="L38" s="41"/>
      <c r="M38" s="34"/>
      <c r="N38" s="14"/>
      <c r="O38" s="14"/>
      <c r="P38" s="14"/>
      <c r="Q38" s="14"/>
      <c r="R38" s="14"/>
      <c r="S38" s="34"/>
      <c r="T38" s="34"/>
      <c r="U38" s="14"/>
      <c r="V38" s="14"/>
      <c r="W38" s="14"/>
      <c r="X38" s="14"/>
      <c r="Y38" s="14"/>
      <c r="Z38" s="34"/>
      <c r="AA38" s="34"/>
      <c r="AB38" s="14"/>
      <c r="AC38" s="14"/>
      <c r="AD38" s="14"/>
      <c r="AE38" s="14"/>
      <c r="AF38" s="14"/>
      <c r="AG38" s="34"/>
      <c r="AH38" s="34"/>
      <c r="AI38" s="14"/>
      <c r="AJ38" s="14"/>
      <c r="AK38" s="14"/>
    </row>
    <row r="39" spans="1:37" ht="19.95" customHeight="1" x14ac:dyDescent="0.3">
      <c r="A39" s="1"/>
      <c r="B39" s="2" t="s">
        <v>40</v>
      </c>
      <c r="C39" s="25"/>
      <c r="D39" s="9" t="s">
        <v>7</v>
      </c>
      <c r="E39" s="8"/>
      <c r="F39" s="12">
        <f t="shared" si="2"/>
        <v>0</v>
      </c>
      <c r="G39" s="14"/>
      <c r="H39" s="14"/>
      <c r="I39" s="14"/>
      <c r="J39" s="14"/>
      <c r="K39" s="22"/>
      <c r="L39" s="41"/>
      <c r="M39" s="34"/>
      <c r="N39" s="14"/>
      <c r="O39" s="14"/>
      <c r="P39" s="14"/>
      <c r="Q39" s="14"/>
      <c r="R39" s="14"/>
      <c r="S39" s="34"/>
      <c r="T39" s="34"/>
      <c r="U39" s="14"/>
      <c r="V39" s="14"/>
      <c r="W39" s="14"/>
      <c r="X39" s="14"/>
      <c r="Y39" s="14"/>
      <c r="Z39" s="34"/>
      <c r="AA39" s="34"/>
      <c r="AB39" s="14"/>
      <c r="AC39" s="14"/>
      <c r="AD39" s="14"/>
      <c r="AE39" s="14"/>
      <c r="AF39" s="14"/>
      <c r="AG39" s="34"/>
      <c r="AH39" s="34"/>
      <c r="AI39" s="14"/>
      <c r="AJ39" s="14"/>
      <c r="AK39" s="14"/>
    </row>
    <row r="40" spans="1:37" ht="19.95" customHeight="1" x14ac:dyDescent="0.3">
      <c r="A40" s="1"/>
      <c r="B40" s="2" t="s">
        <v>39</v>
      </c>
      <c r="C40" s="25"/>
      <c r="D40" s="9" t="s">
        <v>7</v>
      </c>
      <c r="E40" s="8"/>
      <c r="F40" s="12">
        <f t="shared" si="2"/>
        <v>0</v>
      </c>
      <c r="G40" s="14"/>
      <c r="H40" s="14"/>
      <c r="I40" s="14"/>
      <c r="J40" s="14"/>
      <c r="K40" s="22"/>
      <c r="L40" s="41"/>
      <c r="M40" s="34"/>
      <c r="N40" s="14"/>
      <c r="O40" s="14"/>
      <c r="P40" s="14"/>
      <c r="Q40" s="14"/>
      <c r="R40" s="14"/>
      <c r="S40" s="34"/>
      <c r="T40" s="34"/>
      <c r="U40" s="14"/>
      <c r="V40" s="14"/>
      <c r="W40" s="14"/>
      <c r="X40" s="14"/>
      <c r="Y40" s="14"/>
      <c r="Z40" s="34"/>
      <c r="AA40" s="34"/>
      <c r="AB40" s="14"/>
      <c r="AC40" s="14"/>
      <c r="AD40" s="14"/>
      <c r="AE40" s="14"/>
      <c r="AF40" s="14"/>
      <c r="AG40" s="34"/>
      <c r="AH40" s="34"/>
      <c r="AI40" s="14"/>
      <c r="AJ40" s="14"/>
      <c r="AK40" s="14"/>
    </row>
  </sheetData>
  <mergeCells count="2">
    <mergeCell ref="C1:AK1"/>
    <mergeCell ref="A20:B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704A-3B5C-492C-9212-A8FD0AE5283E}">
  <dimension ref="A1:AP41"/>
  <sheetViews>
    <sheetView topLeftCell="B1" zoomScale="50" zoomScaleNormal="50" workbookViewId="0">
      <selection activeCell="AJ48" sqref="AJ48"/>
    </sheetView>
  </sheetViews>
  <sheetFormatPr defaultRowHeight="14.4" x14ac:dyDescent="0.3"/>
  <cols>
    <col min="1" max="1" width="13.5546875" customWidth="1"/>
    <col min="2" max="2" width="39.21875" customWidth="1"/>
    <col min="3" max="3" width="15.77734375" customWidth="1"/>
    <col min="4" max="4" width="11.44140625" customWidth="1"/>
    <col min="5" max="5" width="17" customWidth="1"/>
    <col min="6" max="6" width="13.5546875" customWidth="1"/>
    <col min="7" max="9" width="8.88671875" customWidth="1"/>
    <col min="38" max="38" width="5" customWidth="1"/>
    <col min="39" max="39" width="25.77734375" customWidth="1"/>
    <col min="42" max="42" width="34.21875" customWidth="1"/>
  </cols>
  <sheetData>
    <row r="1" spans="1:42" ht="45.6" customHeight="1" x14ac:dyDescent="0.3">
      <c r="A1" s="4" t="s">
        <v>6</v>
      </c>
      <c r="B1" s="16" t="s">
        <v>56</v>
      </c>
      <c r="C1" s="46" t="s">
        <v>31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42" ht="28.8" x14ac:dyDescent="0.3">
      <c r="A2" s="3" t="s">
        <v>0</v>
      </c>
      <c r="B2" s="3" t="s">
        <v>12</v>
      </c>
      <c r="C2" s="24" t="s">
        <v>1</v>
      </c>
      <c r="D2" s="5" t="s">
        <v>11</v>
      </c>
      <c r="E2" s="7" t="s">
        <v>9</v>
      </c>
      <c r="F2" s="11" t="s">
        <v>10</v>
      </c>
      <c r="G2" s="15">
        <v>46113</v>
      </c>
      <c r="H2" s="15">
        <v>46114</v>
      </c>
      <c r="I2" s="43">
        <v>46115</v>
      </c>
      <c r="J2" s="43">
        <v>46116</v>
      </c>
      <c r="K2" s="15">
        <v>46117</v>
      </c>
      <c r="L2" s="15">
        <v>46118</v>
      </c>
      <c r="M2" s="15">
        <v>46119</v>
      </c>
      <c r="N2" s="15">
        <v>46120</v>
      </c>
      <c r="O2" s="15">
        <v>46121</v>
      </c>
      <c r="P2" s="43">
        <v>46122</v>
      </c>
      <c r="Q2" s="43">
        <v>46123</v>
      </c>
      <c r="R2" s="15">
        <v>46124</v>
      </c>
      <c r="S2" s="15">
        <v>46125</v>
      </c>
      <c r="T2" s="15">
        <v>46126</v>
      </c>
      <c r="U2" s="15">
        <v>46127</v>
      </c>
      <c r="V2" s="15">
        <v>46128</v>
      </c>
      <c r="W2" s="43">
        <v>46129</v>
      </c>
      <c r="X2" s="43">
        <v>46130</v>
      </c>
      <c r="Y2" s="15">
        <v>46131</v>
      </c>
      <c r="Z2" s="15">
        <v>46132</v>
      </c>
      <c r="AA2" s="15">
        <v>46133</v>
      </c>
      <c r="AB2" s="15">
        <v>46134</v>
      </c>
      <c r="AC2" s="15">
        <v>46135</v>
      </c>
      <c r="AD2" s="43">
        <v>46136</v>
      </c>
      <c r="AE2" s="43">
        <v>46137</v>
      </c>
      <c r="AF2" s="15">
        <v>46138</v>
      </c>
      <c r="AG2" s="15">
        <v>46139</v>
      </c>
      <c r="AH2" s="15">
        <v>46140</v>
      </c>
      <c r="AI2" s="15">
        <v>46141</v>
      </c>
      <c r="AJ2" s="15">
        <v>46142</v>
      </c>
      <c r="AK2" s="15"/>
      <c r="AL2" s="15"/>
    </row>
    <row r="3" spans="1:42" ht="19.95" customHeight="1" x14ac:dyDescent="0.3">
      <c r="A3" s="1">
        <v>1</v>
      </c>
      <c r="B3" s="2" t="s">
        <v>13</v>
      </c>
      <c r="C3" s="24">
        <v>20570</v>
      </c>
      <c r="D3" s="6" t="s">
        <v>29</v>
      </c>
      <c r="E3" s="8">
        <f>C3-F3</f>
        <v>3436</v>
      </c>
      <c r="F3" s="12">
        <f t="shared" ref="F3:F19" si="0">AK3+AJ3+AI3+AH3+AG3+AF3+AE3+AD3+AC3+AB3+AA3+Z3+Y3+X3+W3+V3+U3+T3+S3+R3+Q3+P3+O3+N3+M3+L3+K3+J3+I3+H3+G3</f>
        <v>17134</v>
      </c>
      <c r="G3" s="14">
        <v>842</v>
      </c>
      <c r="H3" s="14">
        <v>816</v>
      </c>
      <c r="I3" s="44"/>
      <c r="J3" s="44"/>
      <c r="K3" s="22">
        <v>279</v>
      </c>
      <c r="L3" s="22">
        <v>602</v>
      </c>
      <c r="M3" s="14">
        <v>235</v>
      </c>
      <c r="N3" s="14">
        <v>539</v>
      </c>
      <c r="O3" s="14">
        <v>780</v>
      </c>
      <c r="P3" s="44"/>
      <c r="Q3" s="44"/>
      <c r="R3" s="14">
        <v>894</v>
      </c>
      <c r="S3" s="14">
        <v>904</v>
      </c>
      <c r="T3" s="14">
        <v>889</v>
      </c>
      <c r="U3" s="14">
        <v>881</v>
      </c>
      <c r="V3" s="14">
        <v>898</v>
      </c>
      <c r="W3" s="44"/>
      <c r="X3" s="44"/>
      <c r="Y3" s="14">
        <v>900</v>
      </c>
      <c r="Z3" s="14">
        <v>905</v>
      </c>
      <c r="AA3" s="14">
        <v>879</v>
      </c>
      <c r="AB3" s="14">
        <v>911</v>
      </c>
      <c r="AC3" s="14">
        <v>877</v>
      </c>
      <c r="AD3" s="44"/>
      <c r="AE3" s="44"/>
      <c r="AF3" s="14">
        <v>902</v>
      </c>
      <c r="AG3" s="14">
        <v>900</v>
      </c>
      <c r="AH3" s="14">
        <v>903</v>
      </c>
      <c r="AI3" s="14">
        <v>904</v>
      </c>
      <c r="AJ3" s="14">
        <v>494</v>
      </c>
      <c r="AK3" s="14"/>
      <c r="AM3" s="19">
        <f>F3*11.99</f>
        <v>205436.66</v>
      </c>
    </row>
    <row r="4" spans="1:42" ht="19.95" customHeight="1" x14ac:dyDescent="0.3">
      <c r="A4" s="1">
        <v>2</v>
      </c>
      <c r="B4" s="2" t="s">
        <v>16</v>
      </c>
      <c r="C4" s="24">
        <v>11770</v>
      </c>
      <c r="D4" s="6" t="s">
        <v>28</v>
      </c>
      <c r="E4" s="8">
        <f t="shared" ref="E4:E17" si="1">C4-F4</f>
        <v>2207</v>
      </c>
      <c r="F4" s="12">
        <f t="shared" si="0"/>
        <v>9563</v>
      </c>
      <c r="G4" s="14">
        <v>228</v>
      </c>
      <c r="H4" s="14">
        <v>286</v>
      </c>
      <c r="I4" s="44"/>
      <c r="J4" s="44"/>
      <c r="K4" s="22">
        <v>108</v>
      </c>
      <c r="L4" s="22">
        <v>720</v>
      </c>
      <c r="M4" s="14">
        <v>104</v>
      </c>
      <c r="N4" s="14">
        <v>252</v>
      </c>
      <c r="O4" s="14">
        <v>298</v>
      </c>
      <c r="P4" s="44"/>
      <c r="Q4" s="44"/>
      <c r="R4" s="14">
        <v>513</v>
      </c>
      <c r="S4" s="14">
        <v>481</v>
      </c>
      <c r="T4" s="14">
        <v>494</v>
      </c>
      <c r="U4" s="14">
        <v>511</v>
      </c>
      <c r="V4" s="14">
        <v>503</v>
      </c>
      <c r="W4" s="44"/>
      <c r="X4" s="44"/>
      <c r="Y4" s="14">
        <v>510</v>
      </c>
      <c r="Z4" s="14">
        <v>496</v>
      </c>
      <c r="AA4" s="14">
        <v>509</v>
      </c>
      <c r="AB4" s="14">
        <v>512</v>
      </c>
      <c r="AC4" s="14">
        <v>475</v>
      </c>
      <c r="AD4" s="44"/>
      <c r="AE4" s="44"/>
      <c r="AF4" s="14">
        <v>511</v>
      </c>
      <c r="AG4" s="14">
        <v>505</v>
      </c>
      <c r="AH4" s="14">
        <v>518</v>
      </c>
      <c r="AI4" s="14">
        <v>518</v>
      </c>
      <c r="AJ4" s="14">
        <v>511</v>
      </c>
      <c r="AK4" s="14"/>
      <c r="AM4" s="19">
        <f>F4*16.1</f>
        <v>153964.30000000002</v>
      </c>
    </row>
    <row r="5" spans="1:42" ht="19.95" customHeight="1" x14ac:dyDescent="0.3">
      <c r="A5" s="1">
        <v>3</v>
      </c>
      <c r="B5" s="2" t="s">
        <v>15</v>
      </c>
      <c r="C5" s="24">
        <v>2200</v>
      </c>
      <c r="D5" s="6" t="s">
        <v>27</v>
      </c>
      <c r="E5" s="8">
        <f t="shared" si="1"/>
        <v>15</v>
      </c>
      <c r="F5" s="12">
        <f t="shared" si="0"/>
        <v>2185</v>
      </c>
      <c r="G5" s="14">
        <v>91</v>
      </c>
      <c r="H5" s="14">
        <v>93</v>
      </c>
      <c r="I5" s="44"/>
      <c r="J5" s="44"/>
      <c r="K5" s="22">
        <v>29</v>
      </c>
      <c r="L5" s="22">
        <v>93</v>
      </c>
      <c r="M5" s="14">
        <v>31</v>
      </c>
      <c r="N5" s="14">
        <v>60</v>
      </c>
      <c r="O5" s="14">
        <v>59</v>
      </c>
      <c r="P5" s="44"/>
      <c r="Q5" s="44"/>
      <c r="R5" s="14">
        <v>101</v>
      </c>
      <c r="S5" s="14">
        <v>103</v>
      </c>
      <c r="T5" s="14">
        <v>99</v>
      </c>
      <c r="U5" s="14">
        <v>101</v>
      </c>
      <c r="V5" s="14">
        <v>100</v>
      </c>
      <c r="W5" s="44"/>
      <c r="X5" s="44"/>
      <c r="Y5" s="14">
        <v>101</v>
      </c>
      <c r="Z5" s="14">
        <v>100</v>
      </c>
      <c r="AA5" s="14">
        <v>101</v>
      </c>
      <c r="AB5" s="14">
        <v>100</v>
      </c>
      <c r="AC5" s="14">
        <v>301</v>
      </c>
      <c r="AD5" s="44"/>
      <c r="AE5" s="44"/>
      <c r="AF5" s="14">
        <v>101</v>
      </c>
      <c r="AG5" s="14">
        <v>103</v>
      </c>
      <c r="AH5" s="14">
        <v>108</v>
      </c>
      <c r="AI5" s="14">
        <v>105</v>
      </c>
      <c r="AJ5" s="14">
        <v>105</v>
      </c>
      <c r="AK5" s="14"/>
      <c r="AM5" s="19">
        <f>F5*18.4</f>
        <v>40204</v>
      </c>
    </row>
    <row r="6" spans="1:42" ht="19.95" customHeight="1" x14ac:dyDescent="0.3">
      <c r="A6" s="1">
        <v>4</v>
      </c>
      <c r="B6" s="2" t="s">
        <v>14</v>
      </c>
      <c r="C6" s="24">
        <v>3366</v>
      </c>
      <c r="D6" s="6" t="s">
        <v>27</v>
      </c>
      <c r="E6" s="8">
        <f t="shared" si="1"/>
        <v>404</v>
      </c>
      <c r="F6" s="12">
        <f t="shared" si="0"/>
        <v>2962</v>
      </c>
      <c r="G6" s="14">
        <v>134</v>
      </c>
      <c r="H6" s="14">
        <v>141</v>
      </c>
      <c r="I6" s="44"/>
      <c r="J6" s="44"/>
      <c r="K6" s="22">
        <v>39</v>
      </c>
      <c r="L6" s="22">
        <v>153</v>
      </c>
      <c r="M6" s="14">
        <v>44</v>
      </c>
      <c r="N6" s="14">
        <v>51</v>
      </c>
      <c r="O6" s="14">
        <v>91</v>
      </c>
      <c r="P6" s="44"/>
      <c r="Q6" s="44"/>
      <c r="R6" s="14">
        <v>150</v>
      </c>
      <c r="S6" s="14">
        <v>153</v>
      </c>
      <c r="T6" s="14">
        <v>150</v>
      </c>
      <c r="U6" s="14">
        <v>150</v>
      </c>
      <c r="V6" s="14">
        <v>156</v>
      </c>
      <c r="W6" s="44"/>
      <c r="X6" s="44"/>
      <c r="Y6" s="14">
        <v>151</v>
      </c>
      <c r="Z6" s="14">
        <v>172</v>
      </c>
      <c r="AA6" s="14">
        <v>156</v>
      </c>
      <c r="AB6" s="14">
        <v>148</v>
      </c>
      <c r="AC6" s="14">
        <v>154</v>
      </c>
      <c r="AD6" s="44"/>
      <c r="AE6" s="44"/>
      <c r="AF6" s="14">
        <v>154</v>
      </c>
      <c r="AG6" s="14">
        <v>152</v>
      </c>
      <c r="AH6" s="14">
        <v>154</v>
      </c>
      <c r="AI6" s="14">
        <v>154</v>
      </c>
      <c r="AJ6" s="14">
        <v>155</v>
      </c>
      <c r="AK6" s="14"/>
      <c r="AM6" s="19">
        <f>F6*18.4</f>
        <v>54500.799999999996</v>
      </c>
    </row>
    <row r="7" spans="1:42" ht="19.95" customHeight="1" x14ac:dyDescent="0.3">
      <c r="A7" s="1">
        <v>5</v>
      </c>
      <c r="B7" s="2" t="s">
        <v>17</v>
      </c>
      <c r="C7" s="24">
        <v>17974</v>
      </c>
      <c r="D7" s="6" t="s">
        <v>29</v>
      </c>
      <c r="E7" s="8">
        <f t="shared" si="1"/>
        <v>2301</v>
      </c>
      <c r="F7" s="12">
        <f t="shared" si="0"/>
        <v>15673</v>
      </c>
      <c r="G7" s="14">
        <v>742</v>
      </c>
      <c r="H7" s="14">
        <v>724</v>
      </c>
      <c r="I7" s="44"/>
      <c r="J7" s="44"/>
      <c r="K7" s="22">
        <v>108</v>
      </c>
      <c r="L7" s="22">
        <v>787</v>
      </c>
      <c r="M7" s="14">
        <v>219</v>
      </c>
      <c r="N7" s="14">
        <v>502</v>
      </c>
      <c r="O7" s="14">
        <v>663</v>
      </c>
      <c r="P7" s="44"/>
      <c r="Q7" s="44"/>
      <c r="R7" s="14">
        <v>813</v>
      </c>
      <c r="S7" s="14">
        <v>787</v>
      </c>
      <c r="T7" s="14">
        <v>781</v>
      </c>
      <c r="U7" s="14">
        <v>798</v>
      </c>
      <c r="V7" s="14">
        <v>786</v>
      </c>
      <c r="W7" s="44"/>
      <c r="X7" s="44"/>
      <c r="Y7" s="14">
        <v>811</v>
      </c>
      <c r="Z7" s="14">
        <v>789</v>
      </c>
      <c r="AA7" s="14">
        <v>790</v>
      </c>
      <c r="AB7" s="14">
        <v>794</v>
      </c>
      <c r="AC7" s="14">
        <v>794</v>
      </c>
      <c r="AD7" s="44"/>
      <c r="AE7" s="44"/>
      <c r="AF7" s="14">
        <v>807</v>
      </c>
      <c r="AG7" s="14">
        <v>788</v>
      </c>
      <c r="AH7" s="14">
        <v>803</v>
      </c>
      <c r="AI7" s="14">
        <v>792</v>
      </c>
      <c r="AJ7" s="14">
        <v>795</v>
      </c>
      <c r="AK7" s="14"/>
      <c r="AM7" s="19">
        <f>F7*18.4</f>
        <v>288383.19999999995</v>
      </c>
    </row>
    <row r="8" spans="1:42" ht="19.95" customHeight="1" x14ac:dyDescent="0.3">
      <c r="A8" s="1">
        <v>6</v>
      </c>
      <c r="B8" s="2" t="s">
        <v>19</v>
      </c>
      <c r="C8" s="24">
        <v>11000</v>
      </c>
      <c r="D8" s="6" t="s">
        <v>28</v>
      </c>
      <c r="E8" s="8">
        <f t="shared" si="1"/>
        <v>562</v>
      </c>
      <c r="F8" s="12">
        <f t="shared" si="0"/>
        <v>10438</v>
      </c>
      <c r="G8" s="14">
        <v>521</v>
      </c>
      <c r="H8" s="14">
        <v>507</v>
      </c>
      <c r="I8" s="44"/>
      <c r="J8" s="44"/>
      <c r="K8" s="22">
        <v>116</v>
      </c>
      <c r="L8" s="22">
        <v>501</v>
      </c>
      <c r="M8" s="14">
        <v>134</v>
      </c>
      <c r="N8" s="14">
        <v>202</v>
      </c>
      <c r="O8" s="14">
        <v>345</v>
      </c>
      <c r="P8" s="44"/>
      <c r="Q8" s="44"/>
      <c r="R8" s="14">
        <v>542</v>
      </c>
      <c r="S8" s="14">
        <v>535</v>
      </c>
      <c r="T8" s="14">
        <v>539</v>
      </c>
      <c r="U8" s="14">
        <v>533</v>
      </c>
      <c r="V8" s="14">
        <v>545</v>
      </c>
      <c r="W8" s="44"/>
      <c r="X8" s="44"/>
      <c r="Y8" s="14">
        <v>540</v>
      </c>
      <c r="Z8" s="14">
        <v>540</v>
      </c>
      <c r="AA8" s="14">
        <v>538</v>
      </c>
      <c r="AB8" s="14">
        <v>543</v>
      </c>
      <c r="AC8" s="14">
        <v>543</v>
      </c>
      <c r="AD8" s="44"/>
      <c r="AE8" s="44"/>
      <c r="AF8" s="14">
        <v>559</v>
      </c>
      <c r="AG8" s="14">
        <v>538</v>
      </c>
      <c r="AH8" s="14">
        <v>536</v>
      </c>
      <c r="AI8" s="14">
        <v>538</v>
      </c>
      <c r="AJ8" s="14">
        <v>543</v>
      </c>
      <c r="AK8" s="14"/>
      <c r="AM8" s="19">
        <f>F8*1.73</f>
        <v>18057.740000000002</v>
      </c>
    </row>
    <row r="9" spans="1:42" ht="19.95" customHeight="1" x14ac:dyDescent="0.3">
      <c r="A9" s="1">
        <v>7</v>
      </c>
      <c r="B9" s="2" t="s">
        <v>41</v>
      </c>
      <c r="C9" s="24"/>
      <c r="D9" s="6" t="s">
        <v>28</v>
      </c>
      <c r="E9" s="8"/>
      <c r="F9" s="12">
        <f t="shared" si="0"/>
        <v>0</v>
      </c>
      <c r="G9" s="14">
        <v>0</v>
      </c>
      <c r="H9" s="14">
        <v>0</v>
      </c>
      <c r="I9" s="44"/>
      <c r="J9" s="44"/>
      <c r="K9" s="22">
        <v>0</v>
      </c>
      <c r="L9" s="22">
        <v>0</v>
      </c>
      <c r="M9" s="14">
        <v>0</v>
      </c>
      <c r="N9" s="14">
        <v>0</v>
      </c>
      <c r="O9" s="14">
        <v>0</v>
      </c>
      <c r="P9" s="44"/>
      <c r="Q9" s="44"/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44"/>
      <c r="X9" s="44"/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44"/>
      <c r="AE9" s="44"/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/>
      <c r="AM9" s="19">
        <f>F9*1.73</f>
        <v>0</v>
      </c>
    </row>
    <row r="10" spans="1:42" ht="19.95" customHeight="1" x14ac:dyDescent="0.3">
      <c r="A10" s="1">
        <v>8</v>
      </c>
      <c r="B10" s="2" t="s">
        <v>18</v>
      </c>
      <c r="C10" s="24">
        <v>10560</v>
      </c>
      <c r="D10" s="6" t="s">
        <v>29</v>
      </c>
      <c r="E10" s="8">
        <f t="shared" si="1"/>
        <v>2761</v>
      </c>
      <c r="F10" s="12">
        <f t="shared" si="0"/>
        <v>7799</v>
      </c>
      <c r="G10" s="14">
        <v>363</v>
      </c>
      <c r="H10" s="14">
        <v>363</v>
      </c>
      <c r="I10" s="44"/>
      <c r="J10" s="44"/>
      <c r="K10" s="22">
        <v>107</v>
      </c>
      <c r="L10" s="22">
        <v>399</v>
      </c>
      <c r="M10" s="14">
        <v>107</v>
      </c>
      <c r="N10" s="14">
        <v>209</v>
      </c>
      <c r="O10" s="14">
        <v>282</v>
      </c>
      <c r="P10" s="44"/>
      <c r="Q10" s="44"/>
      <c r="R10" s="14">
        <v>402</v>
      </c>
      <c r="S10" s="14">
        <v>392</v>
      </c>
      <c r="T10" s="14">
        <v>398</v>
      </c>
      <c r="U10" s="14">
        <v>391</v>
      </c>
      <c r="V10" s="14">
        <v>399</v>
      </c>
      <c r="W10" s="44"/>
      <c r="X10" s="44"/>
      <c r="Y10" s="14">
        <v>405</v>
      </c>
      <c r="Z10" s="14">
        <v>395</v>
      </c>
      <c r="AA10" s="14">
        <v>397</v>
      </c>
      <c r="AB10" s="14">
        <v>377</v>
      </c>
      <c r="AC10" s="14">
        <v>403</v>
      </c>
      <c r="AD10" s="44"/>
      <c r="AE10" s="44"/>
      <c r="AF10" s="14">
        <v>394</v>
      </c>
      <c r="AG10" s="14">
        <v>418</v>
      </c>
      <c r="AH10" s="14">
        <v>397</v>
      </c>
      <c r="AI10" s="14">
        <v>402</v>
      </c>
      <c r="AJ10" s="14">
        <v>399</v>
      </c>
      <c r="AK10" s="14"/>
      <c r="AM10" s="19">
        <f>F10*1.73</f>
        <v>13492.27</v>
      </c>
    </row>
    <row r="11" spans="1:42" ht="19.95" customHeight="1" x14ac:dyDescent="0.3">
      <c r="A11" s="1">
        <v>9</v>
      </c>
      <c r="B11" s="2" t="s">
        <v>36</v>
      </c>
      <c r="C11" s="24">
        <v>8800</v>
      </c>
      <c r="D11" s="6" t="s">
        <v>28</v>
      </c>
      <c r="E11" s="8">
        <f t="shared" si="1"/>
        <v>820</v>
      </c>
      <c r="F11" s="12">
        <f t="shared" si="0"/>
        <v>7980</v>
      </c>
      <c r="G11" s="14">
        <v>528</v>
      </c>
      <c r="H11" s="14">
        <v>533</v>
      </c>
      <c r="I11" s="44"/>
      <c r="J11" s="44"/>
      <c r="K11" s="22">
        <v>112</v>
      </c>
      <c r="L11" s="22">
        <v>387</v>
      </c>
      <c r="M11" s="14">
        <v>82</v>
      </c>
      <c r="N11" s="14">
        <v>145</v>
      </c>
      <c r="O11" s="14">
        <v>151</v>
      </c>
      <c r="P11" s="44"/>
      <c r="Q11" s="44"/>
      <c r="R11" s="14">
        <v>506</v>
      </c>
      <c r="S11" s="14">
        <v>496</v>
      </c>
      <c r="T11" s="14">
        <v>10</v>
      </c>
      <c r="U11" s="14">
        <v>529</v>
      </c>
      <c r="V11" s="14">
        <v>485</v>
      </c>
      <c r="W11" s="44"/>
      <c r="X11" s="44"/>
      <c r="Y11" s="14">
        <v>469</v>
      </c>
      <c r="Z11" s="14">
        <v>503</v>
      </c>
      <c r="AA11" s="14">
        <v>10</v>
      </c>
      <c r="AB11" s="14">
        <v>456</v>
      </c>
      <c r="AC11" s="14">
        <v>517</v>
      </c>
      <c r="AD11" s="44"/>
      <c r="AE11" s="44"/>
      <c r="AF11" s="14">
        <v>520</v>
      </c>
      <c r="AG11" s="14">
        <v>525</v>
      </c>
      <c r="AH11" s="14">
        <v>10</v>
      </c>
      <c r="AI11" s="14">
        <v>522</v>
      </c>
      <c r="AJ11" s="14">
        <v>484</v>
      </c>
      <c r="AK11" s="14"/>
      <c r="AM11" s="19">
        <f>F11*5.75</f>
        <v>45885</v>
      </c>
    </row>
    <row r="12" spans="1:42" ht="19.95" customHeight="1" x14ac:dyDescent="0.3">
      <c r="A12" s="1">
        <v>10</v>
      </c>
      <c r="B12" s="2" t="s">
        <v>20</v>
      </c>
      <c r="C12" s="24">
        <v>8800</v>
      </c>
      <c r="D12" s="6" t="s">
        <v>27</v>
      </c>
      <c r="E12" s="8">
        <f t="shared" si="1"/>
        <v>532</v>
      </c>
      <c r="F12" s="12">
        <f t="shared" si="0"/>
        <v>8268</v>
      </c>
      <c r="G12" s="14">
        <v>536</v>
      </c>
      <c r="H12" s="14">
        <v>599</v>
      </c>
      <c r="I12" s="44"/>
      <c r="J12" s="44"/>
      <c r="K12" s="22">
        <v>138</v>
      </c>
      <c r="L12" s="22">
        <v>431</v>
      </c>
      <c r="M12" s="14">
        <v>91</v>
      </c>
      <c r="N12" s="14">
        <v>161</v>
      </c>
      <c r="O12" s="14">
        <v>162</v>
      </c>
      <c r="P12" s="44"/>
      <c r="Q12" s="44"/>
      <c r="R12" s="14">
        <v>403</v>
      </c>
      <c r="S12" s="14">
        <v>564</v>
      </c>
      <c r="T12" s="14">
        <v>30</v>
      </c>
      <c r="U12" s="14">
        <v>604</v>
      </c>
      <c r="V12" s="14">
        <v>391</v>
      </c>
      <c r="W12" s="44"/>
      <c r="X12" s="44"/>
      <c r="Y12" s="14">
        <v>479</v>
      </c>
      <c r="Z12" s="14">
        <v>485</v>
      </c>
      <c r="AA12" s="14">
        <v>30</v>
      </c>
      <c r="AB12" s="14">
        <v>584</v>
      </c>
      <c r="AC12" s="14">
        <v>529</v>
      </c>
      <c r="AD12" s="44"/>
      <c r="AE12" s="44"/>
      <c r="AF12" s="14">
        <v>513</v>
      </c>
      <c r="AG12" s="14">
        <v>546</v>
      </c>
      <c r="AH12" s="14">
        <v>30</v>
      </c>
      <c r="AI12" s="14">
        <v>454</v>
      </c>
      <c r="AJ12" s="14">
        <v>508</v>
      </c>
      <c r="AK12" s="14"/>
      <c r="AM12" s="19">
        <f>F12*5.75</f>
        <v>47541</v>
      </c>
      <c r="AP12" s="21"/>
    </row>
    <row r="13" spans="1:42" ht="19.95" customHeight="1" x14ac:dyDescent="0.3">
      <c r="A13" s="1">
        <v>11</v>
      </c>
      <c r="B13" s="2" t="s">
        <v>21</v>
      </c>
      <c r="C13" s="24">
        <v>5280</v>
      </c>
      <c r="D13" s="6" t="s">
        <v>27</v>
      </c>
      <c r="E13" s="8">
        <f t="shared" si="1"/>
        <v>-19</v>
      </c>
      <c r="F13" s="12">
        <f t="shared" si="0"/>
        <v>5299</v>
      </c>
      <c r="G13" s="14">
        <v>321</v>
      </c>
      <c r="H13" s="14">
        <v>312</v>
      </c>
      <c r="I13" s="44"/>
      <c r="J13" s="44"/>
      <c r="K13" s="22">
        <v>71</v>
      </c>
      <c r="L13" s="22">
        <v>218</v>
      </c>
      <c r="M13" s="14">
        <v>51</v>
      </c>
      <c r="N13" s="14">
        <v>80</v>
      </c>
      <c r="O13" s="14">
        <v>81</v>
      </c>
      <c r="P13" s="44"/>
      <c r="Q13" s="44"/>
      <c r="R13" s="14">
        <v>311</v>
      </c>
      <c r="S13" s="14">
        <v>308</v>
      </c>
      <c r="T13" s="14">
        <v>299</v>
      </c>
      <c r="U13" s="14">
        <v>303</v>
      </c>
      <c r="V13" s="14">
        <v>278</v>
      </c>
      <c r="W13" s="44"/>
      <c r="X13" s="44"/>
      <c r="Y13" s="14">
        <v>294</v>
      </c>
      <c r="Z13" s="14">
        <v>286</v>
      </c>
      <c r="AA13" s="14">
        <v>297</v>
      </c>
      <c r="AB13" s="14">
        <v>300</v>
      </c>
      <c r="AC13" s="14">
        <v>319</v>
      </c>
      <c r="AD13" s="44"/>
      <c r="AE13" s="44"/>
      <c r="AF13" s="14">
        <v>327</v>
      </c>
      <c r="AG13" s="14">
        <v>296</v>
      </c>
      <c r="AH13" s="14">
        <v>309</v>
      </c>
      <c r="AI13" s="14">
        <v>132</v>
      </c>
      <c r="AJ13" s="14">
        <v>106</v>
      </c>
      <c r="AK13" s="14"/>
      <c r="AM13" s="19">
        <f>F13*4.95</f>
        <v>26230.05</v>
      </c>
    </row>
    <row r="14" spans="1:42" ht="19.95" customHeight="1" x14ac:dyDescent="0.3">
      <c r="A14" s="1">
        <v>12</v>
      </c>
      <c r="B14" s="2" t="s">
        <v>34</v>
      </c>
      <c r="C14" s="24">
        <v>11000</v>
      </c>
      <c r="D14" s="6" t="s">
        <v>27</v>
      </c>
      <c r="E14" s="8">
        <f t="shared" si="1"/>
        <v>1455</v>
      </c>
      <c r="F14" s="12">
        <f t="shared" si="0"/>
        <v>9545</v>
      </c>
      <c r="G14" s="14">
        <v>498</v>
      </c>
      <c r="H14" s="14">
        <v>497</v>
      </c>
      <c r="I14" s="44"/>
      <c r="J14" s="44"/>
      <c r="K14" s="22">
        <v>101</v>
      </c>
      <c r="L14" s="22">
        <v>503</v>
      </c>
      <c r="M14" s="14">
        <v>90</v>
      </c>
      <c r="N14" s="14">
        <v>182</v>
      </c>
      <c r="O14" s="14">
        <v>224</v>
      </c>
      <c r="P14" s="44"/>
      <c r="Q14" s="44"/>
      <c r="R14" s="14">
        <v>496</v>
      </c>
      <c r="S14" s="14">
        <v>482</v>
      </c>
      <c r="T14" s="14">
        <v>476</v>
      </c>
      <c r="U14" s="14">
        <v>499</v>
      </c>
      <c r="V14" s="14">
        <v>492</v>
      </c>
      <c r="W14" s="44"/>
      <c r="X14" s="44"/>
      <c r="Y14" s="14">
        <v>499</v>
      </c>
      <c r="Z14" s="14">
        <v>489</v>
      </c>
      <c r="AA14" s="14">
        <v>509</v>
      </c>
      <c r="AB14" s="14">
        <v>503</v>
      </c>
      <c r="AC14" s="14">
        <v>498</v>
      </c>
      <c r="AD14" s="44"/>
      <c r="AE14" s="44"/>
      <c r="AF14" s="14">
        <v>505</v>
      </c>
      <c r="AG14" s="14">
        <v>503</v>
      </c>
      <c r="AH14" s="14">
        <v>499</v>
      </c>
      <c r="AI14" s="14">
        <v>504</v>
      </c>
      <c r="AJ14" s="14">
        <v>496</v>
      </c>
      <c r="AK14" s="14"/>
      <c r="AM14" s="19">
        <f>F14*1.75</f>
        <v>16703.75</v>
      </c>
    </row>
    <row r="15" spans="1:42" ht="19.95" customHeight="1" x14ac:dyDescent="0.3">
      <c r="A15" s="1">
        <v>13</v>
      </c>
      <c r="B15" s="2" t="s">
        <v>35</v>
      </c>
      <c r="C15" s="24">
        <v>3520</v>
      </c>
      <c r="D15" s="6" t="s">
        <v>28</v>
      </c>
      <c r="E15" s="8">
        <f t="shared" si="1"/>
        <v>1034</v>
      </c>
      <c r="F15" s="12">
        <f t="shared" si="0"/>
        <v>2486</v>
      </c>
      <c r="G15" s="14">
        <v>131</v>
      </c>
      <c r="H15" s="14">
        <v>125</v>
      </c>
      <c r="I15" s="44"/>
      <c r="J15" s="44"/>
      <c r="K15" s="22">
        <v>67</v>
      </c>
      <c r="L15" s="22">
        <v>127</v>
      </c>
      <c r="M15" s="14">
        <v>50</v>
      </c>
      <c r="N15" s="14">
        <v>80</v>
      </c>
      <c r="O15" s="14">
        <v>84</v>
      </c>
      <c r="P15" s="44"/>
      <c r="Q15" s="44"/>
      <c r="R15" s="14">
        <v>109</v>
      </c>
      <c r="S15" s="14">
        <v>114</v>
      </c>
      <c r="T15" s="14">
        <v>114</v>
      </c>
      <c r="U15" s="14">
        <v>121</v>
      </c>
      <c r="V15" s="14">
        <v>150</v>
      </c>
      <c r="W15" s="44"/>
      <c r="X15" s="44"/>
      <c r="Y15" s="14">
        <v>128</v>
      </c>
      <c r="Z15" s="14">
        <v>115</v>
      </c>
      <c r="AA15" s="14">
        <v>104</v>
      </c>
      <c r="AB15" s="14">
        <v>123</v>
      </c>
      <c r="AC15" s="14">
        <v>120</v>
      </c>
      <c r="AD15" s="44"/>
      <c r="AE15" s="44"/>
      <c r="AF15" s="14">
        <v>117</v>
      </c>
      <c r="AG15" s="14">
        <v>129</v>
      </c>
      <c r="AH15" s="14">
        <v>123</v>
      </c>
      <c r="AI15" s="14">
        <v>132</v>
      </c>
      <c r="AJ15" s="14">
        <v>123</v>
      </c>
      <c r="AK15" s="14"/>
      <c r="AM15" s="19">
        <f>F15*14.95</f>
        <v>37165.699999999997</v>
      </c>
    </row>
    <row r="16" spans="1:42" ht="19.95" customHeight="1" x14ac:dyDescent="0.3">
      <c r="A16" s="1">
        <v>14</v>
      </c>
      <c r="B16" s="2" t="s">
        <v>22</v>
      </c>
      <c r="C16" s="24">
        <v>5060</v>
      </c>
      <c r="D16" s="6" t="s">
        <v>27</v>
      </c>
      <c r="E16" s="8">
        <f t="shared" si="1"/>
        <v>1983</v>
      </c>
      <c r="F16" s="12">
        <f t="shared" si="0"/>
        <v>3077</v>
      </c>
      <c r="G16" s="14">
        <v>150</v>
      </c>
      <c r="H16" s="14">
        <v>146</v>
      </c>
      <c r="I16" s="44"/>
      <c r="J16" s="44"/>
      <c r="K16" s="22">
        <v>55</v>
      </c>
      <c r="L16" s="22">
        <v>211</v>
      </c>
      <c r="M16" s="14">
        <v>50</v>
      </c>
      <c r="N16" s="14">
        <v>100</v>
      </c>
      <c r="O16" s="14">
        <v>98</v>
      </c>
      <c r="P16" s="44"/>
      <c r="Q16" s="44"/>
      <c r="R16" s="14">
        <v>151</v>
      </c>
      <c r="S16" s="14">
        <v>153</v>
      </c>
      <c r="T16" s="14">
        <v>151</v>
      </c>
      <c r="U16" s="14">
        <v>156</v>
      </c>
      <c r="V16" s="14">
        <v>134</v>
      </c>
      <c r="W16" s="44"/>
      <c r="X16" s="44"/>
      <c r="Y16" s="14">
        <v>155</v>
      </c>
      <c r="Z16" s="14">
        <v>148</v>
      </c>
      <c r="AA16" s="14">
        <v>158</v>
      </c>
      <c r="AB16" s="14">
        <v>148</v>
      </c>
      <c r="AC16" s="14">
        <v>157</v>
      </c>
      <c r="AD16" s="44"/>
      <c r="AE16" s="44"/>
      <c r="AF16" s="14">
        <v>162</v>
      </c>
      <c r="AG16" s="14">
        <v>146</v>
      </c>
      <c r="AH16" s="14">
        <v>139</v>
      </c>
      <c r="AI16" s="14">
        <v>154</v>
      </c>
      <c r="AJ16" s="14">
        <v>155</v>
      </c>
      <c r="AK16" s="14"/>
      <c r="AM16" s="19">
        <f>F16*18.29</f>
        <v>56278.329999999994</v>
      </c>
    </row>
    <row r="17" spans="1:39" ht="19.95" customHeight="1" x14ac:dyDescent="0.3">
      <c r="A17" s="1">
        <v>15</v>
      </c>
      <c r="B17" s="2" t="s">
        <v>23</v>
      </c>
      <c r="C17" s="24">
        <v>11000</v>
      </c>
      <c r="D17" s="6" t="s">
        <v>27</v>
      </c>
      <c r="E17" s="8">
        <f t="shared" si="1"/>
        <v>1365</v>
      </c>
      <c r="F17" s="12">
        <f t="shared" si="0"/>
        <v>9635</v>
      </c>
      <c r="G17" s="14">
        <v>589</v>
      </c>
      <c r="H17" s="14">
        <v>577</v>
      </c>
      <c r="I17" s="44"/>
      <c r="J17" s="44"/>
      <c r="K17" s="22">
        <v>110</v>
      </c>
      <c r="L17" s="22">
        <v>525</v>
      </c>
      <c r="M17" s="14">
        <v>117</v>
      </c>
      <c r="N17" s="14">
        <v>195</v>
      </c>
      <c r="O17" s="14">
        <v>200</v>
      </c>
      <c r="P17" s="44"/>
      <c r="Q17" s="44"/>
      <c r="R17" s="14">
        <v>500</v>
      </c>
      <c r="S17" s="14">
        <v>492</v>
      </c>
      <c r="T17" s="14">
        <v>486</v>
      </c>
      <c r="U17" s="14">
        <v>492</v>
      </c>
      <c r="V17" s="14">
        <v>473</v>
      </c>
      <c r="W17" s="44"/>
      <c r="X17" s="44"/>
      <c r="Y17" s="14">
        <v>481</v>
      </c>
      <c r="Z17" s="14">
        <v>485</v>
      </c>
      <c r="AA17" s="14">
        <v>486</v>
      </c>
      <c r="AB17" s="14">
        <v>480</v>
      </c>
      <c r="AC17" s="14">
        <v>504</v>
      </c>
      <c r="AD17" s="44"/>
      <c r="AE17" s="44"/>
      <c r="AF17" s="14">
        <v>484</v>
      </c>
      <c r="AG17" s="14">
        <v>497</v>
      </c>
      <c r="AH17" s="14">
        <v>508</v>
      </c>
      <c r="AI17" s="14">
        <v>488</v>
      </c>
      <c r="AJ17" s="14">
        <v>466</v>
      </c>
      <c r="AK17" s="14"/>
      <c r="AM17" s="19">
        <f>F17*10.99</f>
        <v>105888.65000000001</v>
      </c>
    </row>
    <row r="18" spans="1:39" ht="19.95" customHeight="1" x14ac:dyDescent="0.3">
      <c r="A18" s="1">
        <v>16</v>
      </c>
      <c r="B18" s="2" t="s">
        <v>50</v>
      </c>
      <c r="C18" s="24"/>
      <c r="D18" s="9" t="s">
        <v>57</v>
      </c>
      <c r="E18" s="10"/>
      <c r="F18" s="12">
        <f t="shared" si="0"/>
        <v>47</v>
      </c>
      <c r="G18" s="40">
        <v>2</v>
      </c>
      <c r="H18" s="40">
        <v>2</v>
      </c>
      <c r="I18" s="44"/>
      <c r="J18" s="44"/>
      <c r="K18" s="42">
        <v>2</v>
      </c>
      <c r="L18" s="42">
        <v>5</v>
      </c>
      <c r="M18" s="40">
        <v>2</v>
      </c>
      <c r="N18" s="40">
        <v>2</v>
      </c>
      <c r="O18" s="40">
        <v>2</v>
      </c>
      <c r="P18" s="44"/>
      <c r="Q18" s="44"/>
      <c r="R18" s="40">
        <v>2</v>
      </c>
      <c r="S18" s="40">
        <v>2</v>
      </c>
      <c r="T18" s="40">
        <v>2</v>
      </c>
      <c r="U18" s="40">
        <v>2</v>
      </c>
      <c r="V18" s="40">
        <v>2</v>
      </c>
      <c r="W18" s="44"/>
      <c r="X18" s="44"/>
      <c r="Y18" s="40">
        <v>2</v>
      </c>
      <c r="Z18" s="40">
        <v>2</v>
      </c>
      <c r="AA18" s="40">
        <v>2</v>
      </c>
      <c r="AB18" s="40">
        <v>2</v>
      </c>
      <c r="AC18" s="40">
        <v>2</v>
      </c>
      <c r="AD18" s="44"/>
      <c r="AE18" s="44"/>
      <c r="AF18" s="40">
        <v>2</v>
      </c>
      <c r="AG18" s="40">
        <v>2</v>
      </c>
      <c r="AH18" s="40">
        <v>2</v>
      </c>
      <c r="AI18" s="40">
        <v>2</v>
      </c>
      <c r="AJ18" s="40">
        <v>2</v>
      </c>
      <c r="AK18" s="14"/>
      <c r="AM18" s="26"/>
    </row>
    <row r="19" spans="1:39" ht="19.95" customHeight="1" x14ac:dyDescent="0.3">
      <c r="A19" s="30"/>
      <c r="B19" s="2" t="s">
        <v>59</v>
      </c>
      <c r="C19" s="32"/>
      <c r="D19" s="9" t="s">
        <v>7</v>
      </c>
      <c r="E19" s="10"/>
      <c r="F19" s="12">
        <f t="shared" si="0"/>
        <v>4</v>
      </c>
      <c r="G19" s="14"/>
      <c r="H19" s="14"/>
      <c r="I19" s="44"/>
      <c r="J19" s="44"/>
      <c r="K19" s="22"/>
      <c r="L19" s="22"/>
      <c r="M19" s="14"/>
      <c r="N19" s="14"/>
      <c r="O19" s="14"/>
      <c r="P19" s="44"/>
      <c r="Q19" s="44"/>
      <c r="R19" s="14"/>
      <c r="S19" s="14"/>
      <c r="T19" s="14"/>
      <c r="U19" s="14"/>
      <c r="V19" s="14"/>
      <c r="W19" s="44"/>
      <c r="X19" s="44"/>
      <c r="Y19" s="14"/>
      <c r="Z19" s="14"/>
      <c r="AA19" s="14"/>
      <c r="AB19" s="14"/>
      <c r="AC19" s="14"/>
      <c r="AD19" s="44"/>
      <c r="AE19" s="44"/>
      <c r="AF19" s="14"/>
      <c r="AG19" s="14"/>
      <c r="AH19" s="40">
        <v>2</v>
      </c>
      <c r="AI19" s="14"/>
      <c r="AJ19" s="40">
        <v>2</v>
      </c>
      <c r="AK19" s="14"/>
      <c r="AM19" s="26"/>
    </row>
    <row r="20" spans="1:39" ht="19.95" customHeight="1" x14ac:dyDescent="0.3">
      <c r="A20" s="30"/>
      <c r="B20" s="31"/>
      <c r="C20" s="32"/>
      <c r="D20" s="9"/>
      <c r="E20" s="10"/>
      <c r="F20" s="13"/>
      <c r="G20" s="14"/>
      <c r="H20" s="14"/>
      <c r="I20" s="44"/>
      <c r="J20" s="44"/>
      <c r="K20" s="22"/>
      <c r="L20" s="22"/>
      <c r="M20" s="14"/>
      <c r="N20" s="14"/>
      <c r="O20" s="14"/>
      <c r="P20" s="44"/>
      <c r="Q20" s="44"/>
      <c r="R20" s="14"/>
      <c r="S20" s="14"/>
      <c r="T20" s="14"/>
      <c r="U20" s="14"/>
      <c r="V20" s="14"/>
      <c r="W20" s="44"/>
      <c r="X20" s="44"/>
      <c r="Y20" s="14"/>
      <c r="Z20" s="14"/>
      <c r="AA20" s="14"/>
      <c r="AB20" s="14"/>
      <c r="AC20" s="14"/>
      <c r="AD20" s="44"/>
      <c r="AE20" s="44"/>
      <c r="AF20" s="14"/>
      <c r="AG20" s="14"/>
      <c r="AH20" s="14"/>
      <c r="AI20" s="14"/>
      <c r="AJ20" s="14"/>
      <c r="AK20" s="14"/>
      <c r="AM20" s="26"/>
    </row>
    <row r="21" spans="1:39" ht="19.95" customHeight="1" x14ac:dyDescent="0.3">
      <c r="A21" s="48" t="s">
        <v>43</v>
      </c>
      <c r="B21" s="49"/>
      <c r="C21" s="27"/>
      <c r="D21" s="9"/>
      <c r="E21" s="10"/>
      <c r="F21" s="12">
        <f>AK21+AJ21+AI21+AH21+AG21+AF21+AE21+AD21+AC21+AB21+AA21+Z21+Y21+X21+W21+V21+U21+T21+S21+R21+Q21+P21+O21+N21+M21+L21+K21+J21+I21+H21+G21</f>
        <v>0</v>
      </c>
      <c r="G21" s="14"/>
      <c r="H21" s="14"/>
      <c r="I21" s="44"/>
      <c r="J21" s="44"/>
      <c r="K21" s="22"/>
      <c r="L21" s="22"/>
      <c r="M21" s="14"/>
      <c r="N21" s="14"/>
      <c r="O21" s="14"/>
      <c r="P21" s="44"/>
      <c r="Q21" s="44"/>
      <c r="R21" s="14"/>
      <c r="S21" s="14"/>
      <c r="T21" s="14"/>
      <c r="U21" s="14"/>
      <c r="V21" s="14"/>
      <c r="W21" s="44"/>
      <c r="X21" s="44"/>
      <c r="Y21" s="14"/>
      <c r="Z21" s="14"/>
      <c r="AA21" s="14"/>
      <c r="AB21" s="14"/>
      <c r="AC21" s="14"/>
      <c r="AD21" s="44"/>
      <c r="AE21" s="44"/>
      <c r="AF21" s="14"/>
      <c r="AG21" s="14"/>
      <c r="AH21" s="14"/>
      <c r="AI21" s="14"/>
      <c r="AJ21" s="14"/>
      <c r="AK21" s="14"/>
      <c r="AM21" s="26"/>
    </row>
    <row r="22" spans="1:39" ht="19.95" customHeight="1" x14ac:dyDescent="0.3">
      <c r="A22" s="1"/>
      <c r="B22" s="28" t="s">
        <v>44</v>
      </c>
      <c r="C22" s="24"/>
      <c r="D22" s="9"/>
      <c r="E22" s="10"/>
      <c r="F22" s="12">
        <f>AK22+AJ22+AI22+AH22+AG22+AF22+AE22+AD22+AC22+AB22+AA22+Z22+Y22+X22+W22+V22+U22+T22+S22+R22+Q22+P22+O22+N22+M22+L22+K22+J22+I22+H22+G22</f>
        <v>21</v>
      </c>
      <c r="G22" s="14"/>
      <c r="H22" s="14"/>
      <c r="I22" s="44"/>
      <c r="J22" s="44"/>
      <c r="K22" s="22"/>
      <c r="L22" s="22"/>
      <c r="M22" s="14"/>
      <c r="N22" s="14"/>
      <c r="O22" s="14"/>
      <c r="P22" s="44"/>
      <c r="Q22" s="44"/>
      <c r="R22" s="14"/>
      <c r="S22" s="14"/>
      <c r="T22" s="14">
        <v>7</v>
      </c>
      <c r="U22" s="14"/>
      <c r="V22" s="14"/>
      <c r="W22" s="44"/>
      <c r="X22" s="44"/>
      <c r="Y22" s="14"/>
      <c r="Z22" s="14"/>
      <c r="AA22" s="14">
        <v>7</v>
      </c>
      <c r="AB22" s="14"/>
      <c r="AC22" s="14"/>
      <c r="AD22" s="44"/>
      <c r="AE22" s="44"/>
      <c r="AF22" s="14"/>
      <c r="AG22" s="14"/>
      <c r="AH22" s="14">
        <v>7</v>
      </c>
      <c r="AI22" s="14"/>
      <c r="AJ22" s="14"/>
      <c r="AK22" s="14"/>
      <c r="AM22" s="26"/>
    </row>
    <row r="23" spans="1:39" ht="19.95" customHeight="1" x14ac:dyDescent="0.3">
      <c r="A23" s="1"/>
      <c r="B23" s="28" t="s">
        <v>45</v>
      </c>
      <c r="C23" s="24"/>
      <c r="D23" s="9"/>
      <c r="E23" s="10"/>
      <c r="F23" s="12">
        <f>AK23+AJ23+AI23+AH23+AG23+AF23+AE23+AD23+AC23+AB23+AA23+Z23+Y23+X23+W23+V23+U23+T23+S23+R23+Q23+P23+O23+N23+M23+L23+K23+J23+I23+H23+G23</f>
        <v>12</v>
      </c>
      <c r="G23" s="14"/>
      <c r="H23" s="14"/>
      <c r="I23" s="44"/>
      <c r="J23" s="44"/>
      <c r="K23" s="22"/>
      <c r="L23" s="22"/>
      <c r="M23" s="14"/>
      <c r="N23" s="14"/>
      <c r="O23" s="14"/>
      <c r="P23" s="44"/>
      <c r="Q23" s="44"/>
      <c r="R23" s="14"/>
      <c r="S23" s="14"/>
      <c r="T23" s="14">
        <v>4</v>
      </c>
      <c r="U23" s="14"/>
      <c r="V23" s="14"/>
      <c r="W23" s="44"/>
      <c r="X23" s="44"/>
      <c r="Y23" s="14"/>
      <c r="Z23" s="14"/>
      <c r="AA23" s="14">
        <v>4</v>
      </c>
      <c r="AB23" s="14"/>
      <c r="AC23" s="14"/>
      <c r="AD23" s="44"/>
      <c r="AE23" s="44"/>
      <c r="AF23" s="14"/>
      <c r="AG23" s="14"/>
      <c r="AH23" s="14">
        <v>4</v>
      </c>
      <c r="AI23" s="14"/>
      <c r="AJ23" s="14"/>
      <c r="AK23" s="14"/>
      <c r="AM23" s="26"/>
    </row>
    <row r="24" spans="1:39" ht="19.95" customHeight="1" x14ac:dyDescent="0.3">
      <c r="A24" s="1"/>
      <c r="B24" s="28" t="s">
        <v>46</v>
      </c>
      <c r="C24" s="24"/>
      <c r="D24" s="9"/>
      <c r="E24" s="10"/>
      <c r="F24" s="12">
        <f>AK24+AJ24+AI24+AH24+AG24+AF24+AE24+AD24+AC24+AB24+AA24+Z24+Y24+X24+W24+V24+U24+T24+S24+R24+Q24+P24+O24+N24+M24+L24+K24+J24+I24+H24+G24</f>
        <v>8</v>
      </c>
      <c r="G24" s="14"/>
      <c r="H24" s="14"/>
      <c r="I24" s="44"/>
      <c r="J24" s="44"/>
      <c r="K24" s="22"/>
      <c r="L24" s="22"/>
      <c r="M24" s="14"/>
      <c r="N24" s="14"/>
      <c r="O24" s="14"/>
      <c r="P24" s="44"/>
      <c r="Q24" s="44"/>
      <c r="R24" s="14"/>
      <c r="S24" s="14"/>
      <c r="T24" s="14">
        <v>4</v>
      </c>
      <c r="U24" s="14"/>
      <c r="V24" s="14"/>
      <c r="W24" s="44"/>
      <c r="X24" s="44"/>
      <c r="Y24" s="14"/>
      <c r="Z24" s="14"/>
      <c r="AA24" s="14"/>
      <c r="AB24" s="14"/>
      <c r="AC24" s="14"/>
      <c r="AD24" s="44"/>
      <c r="AE24" s="44"/>
      <c r="AF24" s="14"/>
      <c r="AG24" s="14"/>
      <c r="AH24" s="14">
        <v>4</v>
      </c>
      <c r="AI24" s="14"/>
      <c r="AJ24" s="14"/>
      <c r="AK24" s="14"/>
      <c r="AM24" s="26"/>
    </row>
    <row r="25" spans="1:39" ht="19.95" customHeight="1" x14ac:dyDescent="0.3">
      <c r="A25" s="1"/>
      <c r="B25" s="28" t="s">
        <v>47</v>
      </c>
      <c r="C25" s="24"/>
      <c r="D25" s="9"/>
      <c r="E25" s="10"/>
      <c r="F25" s="12">
        <f>AK25+AJ25+AI25+AH25+AG25+AF25+AE25+AD25+AC25+AB25+AA25+Z25+Y25+X25+W25+V25+U25+T25+S25+R25+Q25+P25+O25+N25+M25+L25+K25+J25+I25+H25+G25</f>
        <v>4</v>
      </c>
      <c r="G25" s="14"/>
      <c r="H25" s="14"/>
      <c r="I25" s="44"/>
      <c r="J25" s="44"/>
      <c r="K25" s="22"/>
      <c r="L25" s="22"/>
      <c r="M25" s="14"/>
      <c r="N25" s="14"/>
      <c r="O25" s="14"/>
      <c r="P25" s="44"/>
      <c r="Q25" s="44"/>
      <c r="R25" s="14"/>
      <c r="S25" s="14"/>
      <c r="T25" s="14"/>
      <c r="U25" s="14"/>
      <c r="V25" s="14"/>
      <c r="W25" s="44"/>
      <c r="X25" s="44"/>
      <c r="Y25" s="14"/>
      <c r="Z25" s="14"/>
      <c r="AA25" s="14">
        <v>4</v>
      </c>
      <c r="AB25" s="14"/>
      <c r="AC25" s="14"/>
      <c r="AD25" s="44"/>
      <c r="AE25" s="44"/>
      <c r="AF25" s="14"/>
      <c r="AG25" s="14"/>
      <c r="AH25" s="14"/>
      <c r="AI25" s="14"/>
      <c r="AJ25" s="14"/>
      <c r="AK25" s="14"/>
      <c r="AM25" s="26"/>
    </row>
    <row r="26" spans="1:39" ht="19.95" customHeight="1" x14ac:dyDescent="0.3">
      <c r="A26" s="1"/>
      <c r="B26" s="28" t="s">
        <v>53</v>
      </c>
      <c r="C26" s="24"/>
      <c r="D26" s="9"/>
      <c r="E26" s="10"/>
      <c r="F26" s="12"/>
      <c r="G26" s="14"/>
      <c r="H26" s="14"/>
      <c r="I26" s="44"/>
      <c r="J26" s="44"/>
      <c r="K26" s="22"/>
      <c r="L26" s="22"/>
      <c r="M26" s="14"/>
      <c r="N26" s="14"/>
      <c r="O26" s="14"/>
      <c r="P26" s="44"/>
      <c r="Q26" s="44"/>
      <c r="R26" s="14"/>
      <c r="S26" s="14"/>
      <c r="T26" s="14"/>
      <c r="U26" s="14"/>
      <c r="V26" s="14"/>
      <c r="W26" s="44"/>
      <c r="X26" s="44"/>
      <c r="Y26" s="14"/>
      <c r="Z26" s="14"/>
      <c r="AA26" s="14"/>
      <c r="AB26" s="14"/>
      <c r="AC26" s="14"/>
      <c r="AD26" s="44"/>
      <c r="AE26" s="44"/>
      <c r="AF26" s="14"/>
      <c r="AG26" s="14"/>
      <c r="AH26" s="14"/>
      <c r="AI26" s="14"/>
      <c r="AJ26" s="14"/>
      <c r="AK26" s="14"/>
      <c r="AM26" s="26"/>
    </row>
    <row r="27" spans="1:39" ht="19.95" customHeight="1" x14ac:dyDescent="0.3">
      <c r="A27" s="1"/>
      <c r="B27" s="28" t="s">
        <v>48</v>
      </c>
      <c r="C27" s="24"/>
      <c r="D27" s="9"/>
      <c r="E27" s="10"/>
      <c r="F27" s="12"/>
      <c r="G27" s="14"/>
      <c r="H27" s="14"/>
      <c r="I27" s="44"/>
      <c r="J27" s="44"/>
      <c r="K27" s="22"/>
      <c r="L27" s="22"/>
      <c r="M27" s="14"/>
      <c r="N27" s="14"/>
      <c r="O27" s="14"/>
      <c r="P27" s="44"/>
      <c r="Q27" s="44"/>
      <c r="R27" s="14"/>
      <c r="S27" s="14"/>
      <c r="T27" s="14"/>
      <c r="U27" s="14"/>
      <c r="V27" s="14"/>
      <c r="W27" s="44"/>
      <c r="X27" s="44"/>
      <c r="Y27" s="14"/>
      <c r="Z27" s="14"/>
      <c r="AA27" s="14"/>
      <c r="AB27" s="14"/>
      <c r="AC27" s="14"/>
      <c r="AD27" s="44"/>
      <c r="AE27" s="44"/>
      <c r="AF27" s="14"/>
      <c r="AG27" s="14"/>
      <c r="AH27" s="14"/>
      <c r="AI27" s="14"/>
      <c r="AJ27" s="14"/>
      <c r="AK27" s="14"/>
      <c r="AM27" s="26"/>
    </row>
    <row r="28" spans="1:39" ht="19.95" customHeight="1" x14ac:dyDescent="0.3">
      <c r="A28" s="17"/>
      <c r="B28" s="29" t="s">
        <v>49</v>
      </c>
      <c r="C28" s="24"/>
      <c r="D28" s="9"/>
      <c r="E28" s="10"/>
      <c r="F28" s="12">
        <f t="shared" ref="F28:F41" si="2">AK28+AJ28+AI28+AH28+AG28+AF28+AE28+AD28+AC28+AB28+AA28+Z28+Y28+X28+W28+V28+U28+T28+S28+R28+Q28+P28+O28+N28+M28+L28+K28+J28+I28+H28+G28</f>
        <v>15</v>
      </c>
      <c r="G28" s="14"/>
      <c r="H28" s="14"/>
      <c r="I28" s="44"/>
      <c r="J28" s="44"/>
      <c r="K28" s="22"/>
      <c r="L28" s="22"/>
      <c r="M28" s="14"/>
      <c r="N28" s="14"/>
      <c r="O28" s="14"/>
      <c r="P28" s="44"/>
      <c r="Q28" s="44"/>
      <c r="R28" s="14"/>
      <c r="S28" s="14"/>
      <c r="T28" s="14">
        <v>5</v>
      </c>
      <c r="U28" s="14"/>
      <c r="V28" s="14"/>
      <c r="W28" s="44"/>
      <c r="X28" s="44"/>
      <c r="Y28" s="14"/>
      <c r="Z28" s="14"/>
      <c r="AA28" s="14">
        <v>5</v>
      </c>
      <c r="AB28" s="14"/>
      <c r="AC28" s="14"/>
      <c r="AD28" s="44"/>
      <c r="AE28" s="44"/>
      <c r="AF28" s="14"/>
      <c r="AG28" s="14"/>
      <c r="AH28" s="14">
        <v>5</v>
      </c>
      <c r="AI28" s="14"/>
      <c r="AJ28" s="14"/>
      <c r="AK28" s="14"/>
      <c r="AM28" s="20">
        <f>SUM(AM3:AM17)</f>
        <v>1109731.45</v>
      </c>
    </row>
    <row r="29" spans="1:39" ht="19.95" customHeight="1" x14ac:dyDescent="0.3">
      <c r="A29" s="1">
        <v>16</v>
      </c>
      <c r="B29" s="35" t="s">
        <v>25</v>
      </c>
      <c r="C29" s="36"/>
      <c r="D29" s="18" t="s">
        <v>7</v>
      </c>
      <c r="E29" s="18">
        <f t="shared" ref="E29:E36" si="3">C29-F29</f>
        <v>-40</v>
      </c>
      <c r="F29" s="12">
        <f t="shared" si="2"/>
        <v>40</v>
      </c>
      <c r="G29" s="14"/>
      <c r="H29" s="14"/>
      <c r="I29" s="44"/>
      <c r="J29" s="44"/>
      <c r="K29" s="22"/>
      <c r="L29" s="22"/>
      <c r="M29" s="14"/>
      <c r="N29" s="14"/>
      <c r="O29" s="14"/>
      <c r="P29" s="44"/>
      <c r="Q29" s="44"/>
      <c r="R29" s="14">
        <v>8</v>
      </c>
      <c r="S29" s="14"/>
      <c r="T29" s="14">
        <v>8</v>
      </c>
      <c r="U29" s="14"/>
      <c r="V29" s="14"/>
      <c r="W29" s="44"/>
      <c r="X29" s="44"/>
      <c r="Y29" s="14">
        <v>8</v>
      </c>
      <c r="Z29" s="14"/>
      <c r="AA29" s="14">
        <v>8</v>
      </c>
      <c r="AB29" s="14"/>
      <c r="AC29" s="14"/>
      <c r="AD29" s="44"/>
      <c r="AE29" s="44"/>
      <c r="AF29" s="14">
        <v>8</v>
      </c>
      <c r="AG29" s="14"/>
      <c r="AH29" s="14"/>
      <c r="AI29" s="14"/>
      <c r="AJ29" s="14"/>
      <c r="AK29" s="14"/>
    </row>
    <row r="30" spans="1:39" ht="19.95" customHeight="1" x14ac:dyDescent="0.3">
      <c r="A30" s="1">
        <v>17</v>
      </c>
      <c r="B30" s="35" t="s">
        <v>24</v>
      </c>
      <c r="C30" s="36"/>
      <c r="D30" s="18" t="s">
        <v>7</v>
      </c>
      <c r="E30" s="18">
        <f t="shared" si="3"/>
        <v>0</v>
      </c>
      <c r="F30" s="12">
        <f t="shared" si="2"/>
        <v>0</v>
      </c>
      <c r="G30" s="14"/>
      <c r="H30" s="14"/>
      <c r="I30" s="44"/>
      <c r="J30" s="44"/>
      <c r="K30" s="22"/>
      <c r="L30" s="22"/>
      <c r="M30" s="14"/>
      <c r="N30" s="14"/>
      <c r="O30" s="14"/>
      <c r="P30" s="44"/>
      <c r="Q30" s="44"/>
      <c r="R30" s="14"/>
      <c r="S30" s="14"/>
      <c r="T30" s="14"/>
      <c r="U30" s="14"/>
      <c r="V30" s="14"/>
      <c r="W30" s="44"/>
      <c r="X30" s="44"/>
      <c r="Y30" s="14"/>
      <c r="Z30" s="14"/>
      <c r="AA30" s="14"/>
      <c r="AB30" s="14"/>
      <c r="AC30" s="14"/>
      <c r="AD30" s="44"/>
      <c r="AE30" s="44"/>
      <c r="AF30" s="14"/>
      <c r="AG30" s="14"/>
      <c r="AH30" s="14"/>
      <c r="AI30" s="14"/>
      <c r="AJ30" s="14"/>
      <c r="AK30" s="14"/>
    </row>
    <row r="31" spans="1:39" ht="19.95" customHeight="1" x14ac:dyDescent="0.3">
      <c r="A31" s="1">
        <v>18</v>
      </c>
      <c r="B31" s="2" t="s">
        <v>26</v>
      </c>
      <c r="C31" s="24"/>
      <c r="D31" s="6" t="s">
        <v>7</v>
      </c>
      <c r="E31" s="8">
        <f t="shared" si="3"/>
        <v>-90</v>
      </c>
      <c r="F31" s="12">
        <f t="shared" si="2"/>
        <v>90</v>
      </c>
      <c r="G31" s="14"/>
      <c r="H31" s="14"/>
      <c r="I31" s="44"/>
      <c r="J31" s="44"/>
      <c r="K31" s="22"/>
      <c r="L31" s="22"/>
      <c r="M31" s="14"/>
      <c r="N31" s="14"/>
      <c r="O31" s="14">
        <v>10</v>
      </c>
      <c r="P31" s="44"/>
      <c r="Q31" s="44"/>
      <c r="R31" s="14">
        <v>10</v>
      </c>
      <c r="S31" s="14"/>
      <c r="T31" s="14">
        <v>10</v>
      </c>
      <c r="U31" s="14"/>
      <c r="V31" s="14">
        <v>10</v>
      </c>
      <c r="W31" s="44"/>
      <c r="X31" s="44"/>
      <c r="Y31" s="14">
        <v>10</v>
      </c>
      <c r="Z31" s="14"/>
      <c r="AA31" s="14">
        <v>10</v>
      </c>
      <c r="AB31" s="14"/>
      <c r="AC31" s="14">
        <v>10</v>
      </c>
      <c r="AD31" s="44"/>
      <c r="AE31" s="44"/>
      <c r="AF31" s="14">
        <v>10</v>
      </c>
      <c r="AG31" s="14"/>
      <c r="AH31" s="14">
        <v>10</v>
      </c>
      <c r="AI31" s="14"/>
      <c r="AJ31" s="14"/>
      <c r="AK31" s="14"/>
    </row>
    <row r="32" spans="1:39" ht="19.95" customHeight="1" x14ac:dyDescent="0.3">
      <c r="A32" s="1">
        <v>19</v>
      </c>
      <c r="B32" s="2" t="s">
        <v>4</v>
      </c>
      <c r="C32" s="24"/>
      <c r="D32" s="6" t="s">
        <v>30</v>
      </c>
      <c r="E32" s="8">
        <f t="shared" si="3"/>
        <v>-160</v>
      </c>
      <c r="F32" s="12">
        <f t="shared" si="2"/>
        <v>160</v>
      </c>
      <c r="G32" s="14"/>
      <c r="H32" s="14">
        <v>10</v>
      </c>
      <c r="I32" s="44"/>
      <c r="J32" s="44"/>
      <c r="K32" s="22"/>
      <c r="L32" s="22"/>
      <c r="M32" s="14"/>
      <c r="N32" s="14"/>
      <c r="O32" s="14"/>
      <c r="P32" s="44"/>
      <c r="Q32" s="44"/>
      <c r="R32" s="14">
        <v>20</v>
      </c>
      <c r="S32" s="14"/>
      <c r="T32" s="14">
        <v>20</v>
      </c>
      <c r="U32" s="14"/>
      <c r="V32" s="14">
        <v>20</v>
      </c>
      <c r="W32" s="44"/>
      <c r="X32" s="44"/>
      <c r="Y32" s="14">
        <v>20</v>
      </c>
      <c r="Z32" s="14"/>
      <c r="AA32" s="14">
        <v>20</v>
      </c>
      <c r="AB32" s="14"/>
      <c r="AC32" s="14">
        <v>20</v>
      </c>
      <c r="AD32" s="44"/>
      <c r="AE32" s="44"/>
      <c r="AF32" s="14">
        <v>10</v>
      </c>
      <c r="AG32" s="14"/>
      <c r="AH32" s="14">
        <v>20</v>
      </c>
      <c r="AI32" s="14"/>
      <c r="AJ32" s="14"/>
      <c r="AK32" s="14"/>
    </row>
    <row r="33" spans="1:37" ht="19.95" customHeight="1" x14ac:dyDescent="0.3">
      <c r="A33" s="1">
        <v>45</v>
      </c>
      <c r="B33" s="2" t="s">
        <v>5</v>
      </c>
      <c r="C33" s="24"/>
      <c r="D33" s="6" t="s">
        <v>30</v>
      </c>
      <c r="E33" s="8">
        <f t="shared" si="3"/>
        <v>-160</v>
      </c>
      <c r="F33" s="12">
        <f t="shared" si="2"/>
        <v>160</v>
      </c>
      <c r="G33" s="14"/>
      <c r="H33" s="14">
        <v>10</v>
      </c>
      <c r="I33" s="44"/>
      <c r="J33" s="44"/>
      <c r="K33" s="22"/>
      <c r="L33" s="22"/>
      <c r="M33" s="14"/>
      <c r="N33" s="14"/>
      <c r="O33" s="14"/>
      <c r="P33" s="44"/>
      <c r="Q33" s="44"/>
      <c r="R33" s="14">
        <v>20</v>
      </c>
      <c r="S33" s="14"/>
      <c r="T33" s="14">
        <v>20</v>
      </c>
      <c r="U33" s="14"/>
      <c r="V33" s="14">
        <v>20</v>
      </c>
      <c r="W33" s="44"/>
      <c r="X33" s="44"/>
      <c r="Y33" s="14">
        <v>20</v>
      </c>
      <c r="Z33" s="14"/>
      <c r="AA33" s="14">
        <v>20</v>
      </c>
      <c r="AB33" s="14"/>
      <c r="AC33" s="14">
        <v>20</v>
      </c>
      <c r="AD33" s="44"/>
      <c r="AE33" s="44"/>
      <c r="AF33" s="14">
        <v>10</v>
      </c>
      <c r="AG33" s="14"/>
      <c r="AH33" s="14">
        <v>20</v>
      </c>
      <c r="AI33" s="14"/>
      <c r="AJ33" s="14"/>
      <c r="AK33" s="14"/>
    </row>
    <row r="34" spans="1:37" ht="19.95" customHeight="1" x14ac:dyDescent="0.3">
      <c r="A34" s="1">
        <v>21</v>
      </c>
      <c r="B34" s="2" t="s">
        <v>3</v>
      </c>
      <c r="C34" s="24"/>
      <c r="D34" s="6" t="s">
        <v>8</v>
      </c>
      <c r="E34" s="8">
        <f t="shared" si="3"/>
        <v>-615</v>
      </c>
      <c r="F34" s="12">
        <f t="shared" si="2"/>
        <v>615</v>
      </c>
      <c r="G34" s="14">
        <v>30</v>
      </c>
      <c r="H34" s="14">
        <v>30</v>
      </c>
      <c r="I34" s="44"/>
      <c r="J34" s="44"/>
      <c r="K34" s="14">
        <v>30</v>
      </c>
      <c r="L34" s="14">
        <v>30</v>
      </c>
      <c r="M34" s="14">
        <v>15</v>
      </c>
      <c r="N34" s="14">
        <v>15</v>
      </c>
      <c r="O34" s="14">
        <v>15</v>
      </c>
      <c r="P34" s="44"/>
      <c r="Q34" s="44"/>
      <c r="R34" s="14">
        <v>30</v>
      </c>
      <c r="S34" s="14">
        <v>30</v>
      </c>
      <c r="T34" s="14">
        <v>30</v>
      </c>
      <c r="U34" s="14">
        <v>30</v>
      </c>
      <c r="V34" s="14">
        <v>30</v>
      </c>
      <c r="W34" s="44"/>
      <c r="X34" s="44"/>
      <c r="Y34" s="14">
        <v>30</v>
      </c>
      <c r="Z34" s="14">
        <v>30</v>
      </c>
      <c r="AA34" s="14">
        <v>30</v>
      </c>
      <c r="AB34" s="14">
        <v>30</v>
      </c>
      <c r="AC34" s="14">
        <v>30</v>
      </c>
      <c r="AD34" s="44"/>
      <c r="AE34" s="44"/>
      <c r="AF34" s="14">
        <v>30</v>
      </c>
      <c r="AG34" s="14">
        <v>30</v>
      </c>
      <c r="AH34" s="14">
        <v>30</v>
      </c>
      <c r="AI34" s="14">
        <v>30</v>
      </c>
      <c r="AJ34" s="14">
        <v>30</v>
      </c>
      <c r="AK34" s="14"/>
    </row>
    <row r="35" spans="1:37" ht="19.95" customHeight="1" x14ac:dyDescent="0.3">
      <c r="A35" s="1">
        <v>22</v>
      </c>
      <c r="B35" s="2" t="s">
        <v>2</v>
      </c>
      <c r="C35" s="24"/>
      <c r="D35" s="6" t="s">
        <v>8</v>
      </c>
      <c r="E35" s="8">
        <f t="shared" si="3"/>
        <v>-615</v>
      </c>
      <c r="F35" s="12">
        <f t="shared" si="2"/>
        <v>615</v>
      </c>
      <c r="G35" s="14">
        <v>30</v>
      </c>
      <c r="H35" s="14">
        <v>30</v>
      </c>
      <c r="I35" s="44"/>
      <c r="J35" s="44"/>
      <c r="K35" s="14">
        <v>30</v>
      </c>
      <c r="L35" s="14">
        <v>30</v>
      </c>
      <c r="M35" s="14">
        <v>15</v>
      </c>
      <c r="N35" s="14">
        <v>15</v>
      </c>
      <c r="O35" s="14">
        <v>15</v>
      </c>
      <c r="P35" s="44"/>
      <c r="Q35" s="44"/>
      <c r="R35" s="14">
        <v>30</v>
      </c>
      <c r="S35" s="14">
        <v>30</v>
      </c>
      <c r="T35" s="14">
        <v>30</v>
      </c>
      <c r="U35" s="14">
        <v>30</v>
      </c>
      <c r="V35" s="14">
        <v>30</v>
      </c>
      <c r="W35" s="44"/>
      <c r="X35" s="44"/>
      <c r="Y35" s="14">
        <v>30</v>
      </c>
      <c r="Z35" s="14">
        <v>30</v>
      </c>
      <c r="AA35" s="14">
        <v>30</v>
      </c>
      <c r="AB35" s="14">
        <v>30</v>
      </c>
      <c r="AC35" s="14">
        <v>30</v>
      </c>
      <c r="AD35" s="44"/>
      <c r="AE35" s="44"/>
      <c r="AF35" s="14">
        <v>30</v>
      </c>
      <c r="AG35" s="14">
        <v>30</v>
      </c>
      <c r="AH35" s="14">
        <v>30</v>
      </c>
      <c r="AI35" s="14">
        <v>30</v>
      </c>
      <c r="AJ35" s="14">
        <v>30</v>
      </c>
      <c r="AK35" s="14"/>
    </row>
    <row r="36" spans="1:37" ht="19.95" customHeight="1" x14ac:dyDescent="0.3">
      <c r="A36" s="1">
        <v>23</v>
      </c>
      <c r="B36" s="35" t="s">
        <v>32</v>
      </c>
      <c r="C36" s="35"/>
      <c r="D36" s="18" t="s">
        <v>33</v>
      </c>
      <c r="E36" s="18">
        <f t="shared" si="3"/>
        <v>0</v>
      </c>
      <c r="F36" s="12">
        <f t="shared" si="2"/>
        <v>0</v>
      </c>
      <c r="G36" s="14"/>
      <c r="H36" s="14"/>
      <c r="I36" s="44"/>
      <c r="J36" s="44"/>
      <c r="K36" s="22"/>
      <c r="L36" s="22"/>
      <c r="M36" s="14"/>
      <c r="N36" s="14"/>
      <c r="O36" s="14"/>
      <c r="P36" s="44"/>
      <c r="Q36" s="44"/>
      <c r="R36" s="14"/>
      <c r="S36" s="14"/>
      <c r="T36" s="14"/>
      <c r="U36" s="14"/>
      <c r="V36" s="14"/>
      <c r="W36" s="44"/>
      <c r="X36" s="44"/>
      <c r="Y36" s="14"/>
      <c r="Z36" s="14"/>
      <c r="AA36" s="14"/>
      <c r="AB36" s="14"/>
      <c r="AC36" s="14"/>
      <c r="AD36" s="44"/>
      <c r="AE36" s="44"/>
      <c r="AF36" s="14"/>
      <c r="AG36" s="14"/>
      <c r="AH36" s="14"/>
      <c r="AI36" s="14"/>
      <c r="AJ36" s="14"/>
      <c r="AK36" s="14"/>
    </row>
    <row r="37" spans="1:37" ht="19.95" customHeight="1" x14ac:dyDescent="0.3">
      <c r="A37" s="1"/>
      <c r="B37" s="23" t="s">
        <v>42</v>
      </c>
      <c r="C37" s="25"/>
      <c r="D37" s="9" t="s">
        <v>7</v>
      </c>
      <c r="E37" s="8"/>
      <c r="F37" s="12">
        <f t="shared" si="2"/>
        <v>0</v>
      </c>
      <c r="G37" s="14"/>
      <c r="H37" s="14"/>
      <c r="I37" s="44"/>
      <c r="J37" s="44"/>
      <c r="K37" s="22"/>
      <c r="L37" s="22"/>
      <c r="M37" s="14"/>
      <c r="N37" s="14"/>
      <c r="O37" s="14"/>
      <c r="P37" s="44"/>
      <c r="Q37" s="44"/>
      <c r="R37" s="14"/>
      <c r="S37" s="14"/>
      <c r="T37" s="14"/>
      <c r="U37" s="14"/>
      <c r="V37" s="14"/>
      <c r="W37" s="44"/>
      <c r="X37" s="44"/>
      <c r="Y37" s="14"/>
      <c r="Z37" s="14"/>
      <c r="AA37" s="14"/>
      <c r="AB37" s="14"/>
      <c r="AC37" s="14"/>
      <c r="AD37" s="44"/>
      <c r="AE37" s="44"/>
      <c r="AF37" s="14"/>
      <c r="AG37" s="14"/>
      <c r="AH37" s="14"/>
      <c r="AI37" s="14"/>
      <c r="AJ37" s="14"/>
      <c r="AK37" s="14"/>
    </row>
    <row r="38" spans="1:37" ht="19.95" customHeight="1" x14ac:dyDescent="0.3">
      <c r="A38" s="1"/>
      <c r="B38" s="2" t="s">
        <v>37</v>
      </c>
      <c r="C38" s="25"/>
      <c r="D38" s="9" t="s">
        <v>7</v>
      </c>
      <c r="E38" s="8"/>
      <c r="F38" s="12">
        <f t="shared" si="2"/>
        <v>0</v>
      </c>
      <c r="G38" s="14"/>
      <c r="H38" s="14"/>
      <c r="I38" s="44"/>
      <c r="J38" s="44"/>
      <c r="K38" s="22"/>
      <c r="L38" s="22"/>
      <c r="M38" s="14"/>
      <c r="N38" s="14"/>
      <c r="O38" s="14"/>
      <c r="P38" s="44"/>
      <c r="Q38" s="44"/>
      <c r="R38" s="14"/>
      <c r="S38" s="14"/>
      <c r="T38" s="14"/>
      <c r="U38" s="14"/>
      <c r="V38" s="14"/>
      <c r="W38" s="44"/>
      <c r="X38" s="44"/>
      <c r="Y38" s="14"/>
      <c r="Z38" s="14"/>
      <c r="AA38" s="14"/>
      <c r="AB38" s="14"/>
      <c r="AC38" s="14"/>
      <c r="AD38" s="44"/>
      <c r="AE38" s="44"/>
      <c r="AF38" s="14"/>
      <c r="AG38" s="14"/>
      <c r="AH38" s="14"/>
      <c r="AI38" s="14"/>
      <c r="AJ38" s="14"/>
      <c r="AK38" s="14"/>
    </row>
    <row r="39" spans="1:37" ht="19.95" customHeight="1" x14ac:dyDescent="0.3">
      <c r="A39" s="1"/>
      <c r="B39" s="2" t="s">
        <v>38</v>
      </c>
      <c r="C39" s="25"/>
      <c r="D39" s="9" t="s">
        <v>7</v>
      </c>
      <c r="E39" s="8"/>
      <c r="F39" s="12">
        <f t="shared" si="2"/>
        <v>0</v>
      </c>
      <c r="G39" s="14"/>
      <c r="H39" s="14"/>
      <c r="I39" s="44"/>
      <c r="J39" s="44"/>
      <c r="K39" s="22"/>
      <c r="L39" s="22"/>
      <c r="M39" s="14"/>
      <c r="N39" s="14"/>
      <c r="O39" s="14"/>
      <c r="P39" s="44"/>
      <c r="Q39" s="44"/>
      <c r="R39" s="14"/>
      <c r="S39" s="14"/>
      <c r="T39" s="14"/>
      <c r="U39" s="14"/>
      <c r="V39" s="14"/>
      <c r="W39" s="44"/>
      <c r="X39" s="44"/>
      <c r="Y39" s="14"/>
      <c r="Z39" s="14"/>
      <c r="AA39" s="14"/>
      <c r="AB39" s="14"/>
      <c r="AC39" s="14"/>
      <c r="AD39" s="44"/>
      <c r="AE39" s="44"/>
      <c r="AF39" s="14"/>
      <c r="AG39" s="14"/>
      <c r="AH39" s="14"/>
      <c r="AI39" s="14"/>
      <c r="AJ39" s="14"/>
      <c r="AK39" s="14"/>
    </row>
    <row r="40" spans="1:37" ht="19.95" customHeight="1" x14ac:dyDescent="0.3">
      <c r="A40" s="1"/>
      <c r="B40" s="2" t="s">
        <v>40</v>
      </c>
      <c r="C40" s="25"/>
      <c r="D40" s="9" t="s">
        <v>7</v>
      </c>
      <c r="E40" s="8"/>
      <c r="F40" s="12">
        <f t="shared" si="2"/>
        <v>0</v>
      </c>
      <c r="G40" s="14"/>
      <c r="H40" s="14"/>
      <c r="I40" s="44"/>
      <c r="J40" s="44"/>
      <c r="K40" s="22"/>
      <c r="L40" s="22"/>
      <c r="M40" s="14"/>
      <c r="N40" s="14"/>
      <c r="O40" s="14"/>
      <c r="P40" s="44"/>
      <c r="Q40" s="44"/>
      <c r="R40" s="14"/>
      <c r="S40" s="14"/>
      <c r="T40" s="14"/>
      <c r="U40" s="14"/>
      <c r="V40" s="14"/>
      <c r="W40" s="44"/>
      <c r="X40" s="44"/>
      <c r="Y40" s="14"/>
      <c r="Z40" s="14"/>
      <c r="AA40" s="14"/>
      <c r="AB40" s="14"/>
      <c r="AC40" s="14"/>
      <c r="AD40" s="44"/>
      <c r="AE40" s="44"/>
      <c r="AF40" s="14"/>
      <c r="AG40" s="14"/>
      <c r="AH40" s="14"/>
      <c r="AI40" s="14"/>
      <c r="AJ40" s="14"/>
      <c r="AK40" s="14"/>
    </row>
    <row r="41" spans="1:37" ht="19.95" customHeight="1" x14ac:dyDescent="0.3">
      <c r="A41" s="1"/>
      <c r="B41" s="2" t="s">
        <v>39</v>
      </c>
      <c r="C41" s="25"/>
      <c r="D41" s="9" t="s">
        <v>7</v>
      </c>
      <c r="E41" s="8"/>
      <c r="F41" s="12">
        <f t="shared" si="2"/>
        <v>0</v>
      </c>
      <c r="G41" s="14"/>
      <c r="H41" s="14"/>
      <c r="I41" s="44"/>
      <c r="J41" s="44"/>
      <c r="K41" s="22"/>
      <c r="L41" s="22"/>
      <c r="M41" s="14"/>
      <c r="N41" s="14"/>
      <c r="O41" s="14"/>
      <c r="P41" s="44"/>
      <c r="Q41" s="44"/>
      <c r="R41" s="14"/>
      <c r="S41" s="14"/>
      <c r="T41" s="14"/>
      <c r="U41" s="14"/>
      <c r="V41" s="14"/>
      <c r="W41" s="44"/>
      <c r="X41" s="44"/>
      <c r="Y41" s="14"/>
      <c r="Z41" s="14"/>
      <c r="AA41" s="14"/>
      <c r="AB41" s="14"/>
      <c r="AC41" s="14"/>
      <c r="AD41" s="44"/>
      <c r="AE41" s="44"/>
      <c r="AF41" s="14"/>
      <c r="AG41" s="14"/>
      <c r="AH41" s="14"/>
      <c r="AI41" s="14"/>
      <c r="AJ41" s="14"/>
      <c r="AK41" s="14"/>
    </row>
  </sheetData>
  <mergeCells count="2">
    <mergeCell ref="C1:AK1"/>
    <mergeCell ref="A21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AAD4-1106-4F89-B702-F7E2EBB4541A}">
  <dimension ref="A1:AP41"/>
  <sheetViews>
    <sheetView tabSelected="1" zoomScale="60" zoomScaleNormal="60" workbookViewId="0">
      <selection activeCell="M20" sqref="M20"/>
    </sheetView>
  </sheetViews>
  <sheetFormatPr defaultRowHeight="14.4" x14ac:dyDescent="0.3"/>
  <cols>
    <col min="1" max="1" width="13.5546875" customWidth="1"/>
    <col min="2" max="2" width="39.21875" customWidth="1"/>
    <col min="3" max="3" width="15.77734375" customWidth="1"/>
    <col min="4" max="4" width="11.44140625" customWidth="1"/>
    <col min="5" max="5" width="17" customWidth="1"/>
    <col min="6" max="6" width="13.5546875" customWidth="1"/>
    <col min="7" max="9" width="8.88671875" customWidth="1"/>
    <col min="38" max="38" width="5" customWidth="1"/>
    <col min="39" max="39" width="25.77734375" customWidth="1"/>
    <col min="42" max="42" width="34.21875" customWidth="1"/>
  </cols>
  <sheetData>
    <row r="1" spans="1:42" ht="45.6" customHeight="1" x14ac:dyDescent="0.3">
      <c r="A1" s="4" t="s">
        <v>6</v>
      </c>
      <c r="B1" s="16" t="s">
        <v>58</v>
      </c>
      <c r="C1" s="46" t="s">
        <v>31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</row>
    <row r="2" spans="1:42" ht="28.8" x14ac:dyDescent="0.3">
      <c r="A2" s="3" t="s">
        <v>0</v>
      </c>
      <c r="B2" s="3" t="s">
        <v>12</v>
      </c>
      <c r="C2" s="24" t="s">
        <v>1</v>
      </c>
      <c r="D2" s="5" t="s">
        <v>11</v>
      </c>
      <c r="E2" s="7" t="s">
        <v>9</v>
      </c>
      <c r="F2" s="11" t="s">
        <v>10</v>
      </c>
      <c r="G2" s="37">
        <v>46143</v>
      </c>
      <c r="H2" s="37">
        <v>46144</v>
      </c>
      <c r="I2" s="15">
        <v>46145</v>
      </c>
      <c r="J2" s="15">
        <v>46146</v>
      </c>
      <c r="K2" s="15">
        <v>46147</v>
      </c>
      <c r="L2" s="15">
        <v>46148</v>
      </c>
      <c r="M2" s="15">
        <v>46149</v>
      </c>
      <c r="N2" s="37">
        <v>46150</v>
      </c>
      <c r="O2" s="37">
        <v>46151</v>
      </c>
      <c r="P2" s="15">
        <v>46152</v>
      </c>
      <c r="Q2" s="15">
        <v>46153</v>
      </c>
      <c r="R2" s="15">
        <v>46154</v>
      </c>
      <c r="S2" s="15">
        <v>46155</v>
      </c>
      <c r="T2" s="15">
        <v>46156</v>
      </c>
      <c r="U2" s="37">
        <v>46157</v>
      </c>
      <c r="V2" s="37">
        <v>46158</v>
      </c>
      <c r="W2" s="15">
        <v>46159</v>
      </c>
      <c r="X2" s="15">
        <v>46160</v>
      </c>
      <c r="Y2" s="15">
        <v>46161</v>
      </c>
      <c r="Z2" s="15">
        <v>46162</v>
      </c>
      <c r="AA2" s="15">
        <v>46163</v>
      </c>
      <c r="AB2" s="37">
        <v>46164</v>
      </c>
      <c r="AC2" s="37">
        <v>46165</v>
      </c>
      <c r="AD2" s="15">
        <v>46166</v>
      </c>
      <c r="AE2" s="15">
        <v>46167</v>
      </c>
      <c r="AF2" s="15">
        <v>46168</v>
      </c>
      <c r="AG2" s="15">
        <v>46169</v>
      </c>
      <c r="AH2" s="15">
        <v>46170</v>
      </c>
      <c r="AI2" s="37">
        <v>46171</v>
      </c>
      <c r="AJ2" s="37">
        <v>46172</v>
      </c>
      <c r="AK2" s="15">
        <v>46173</v>
      </c>
      <c r="AL2" s="15"/>
    </row>
    <row r="3" spans="1:42" ht="19.95" customHeight="1" x14ac:dyDescent="0.3">
      <c r="A3" s="1">
        <v>1</v>
      </c>
      <c r="B3" s="2" t="s">
        <v>13</v>
      </c>
      <c r="C3" s="24">
        <v>14025</v>
      </c>
      <c r="D3" s="6" t="s">
        <v>29</v>
      </c>
      <c r="E3" s="8">
        <f>C3-F3</f>
        <v>9526</v>
      </c>
      <c r="F3" s="12">
        <f t="shared" ref="F3:F19" si="0">AK3+AJ3+AI3+AH3+AG3+AF3+AE3+AD3+AC3+AB3+AA3+Z3+Y3+X3+W3+V3+U3+T3+S3+R3+Q3+P3+O3+N3+M3+L3+K3+J3+I3+H3+G3</f>
        <v>4499</v>
      </c>
      <c r="G3" s="39"/>
      <c r="H3" s="39"/>
      <c r="I3" s="14">
        <v>895</v>
      </c>
      <c r="J3" s="14">
        <v>894</v>
      </c>
      <c r="K3" s="22">
        <v>903</v>
      </c>
      <c r="L3" s="22">
        <v>903</v>
      </c>
      <c r="M3" s="14">
        <v>904</v>
      </c>
      <c r="N3" s="39"/>
      <c r="O3" s="39"/>
      <c r="P3" s="14"/>
      <c r="Q3" s="14"/>
      <c r="R3" s="14"/>
      <c r="S3" s="14"/>
      <c r="T3" s="14"/>
      <c r="U3" s="39"/>
      <c r="V3" s="39"/>
      <c r="W3" s="14"/>
      <c r="X3" s="14"/>
      <c r="Y3" s="14"/>
      <c r="Z3" s="14"/>
      <c r="AA3" s="14"/>
      <c r="AB3" s="39"/>
      <c r="AC3" s="39"/>
      <c r="AD3" s="14"/>
      <c r="AE3" s="14"/>
      <c r="AF3" s="14"/>
      <c r="AG3" s="14"/>
      <c r="AH3" s="14"/>
      <c r="AI3" s="39"/>
      <c r="AJ3" s="39"/>
      <c r="AK3" s="14"/>
      <c r="AM3" s="19">
        <f>F3*11.99</f>
        <v>53943.01</v>
      </c>
    </row>
    <row r="4" spans="1:42" ht="19.95" customHeight="1" x14ac:dyDescent="0.3">
      <c r="A4" s="1">
        <v>2</v>
      </c>
      <c r="B4" s="2" t="s">
        <v>16</v>
      </c>
      <c r="C4" s="24">
        <v>8025</v>
      </c>
      <c r="D4" s="6" t="s">
        <v>28</v>
      </c>
      <c r="E4" s="8">
        <f t="shared" ref="E4:E19" si="1">C4-F4</f>
        <v>5489</v>
      </c>
      <c r="F4" s="12">
        <f t="shared" si="0"/>
        <v>2536</v>
      </c>
      <c r="G4" s="39"/>
      <c r="H4" s="39"/>
      <c r="I4" s="14">
        <v>497</v>
      </c>
      <c r="J4" s="14">
        <v>506</v>
      </c>
      <c r="K4" s="22">
        <v>518</v>
      </c>
      <c r="L4" s="22">
        <v>514</v>
      </c>
      <c r="M4" s="14">
        <v>501</v>
      </c>
      <c r="N4" s="39"/>
      <c r="O4" s="39"/>
      <c r="P4" s="14"/>
      <c r="Q4" s="14"/>
      <c r="R4" s="14"/>
      <c r="S4" s="14"/>
      <c r="T4" s="14"/>
      <c r="U4" s="39"/>
      <c r="V4" s="39"/>
      <c r="W4" s="14"/>
      <c r="X4" s="14"/>
      <c r="Y4" s="14"/>
      <c r="Z4" s="14"/>
      <c r="AA4" s="14"/>
      <c r="AB4" s="39"/>
      <c r="AC4" s="39"/>
      <c r="AD4" s="14"/>
      <c r="AE4" s="14"/>
      <c r="AF4" s="14"/>
      <c r="AG4" s="14"/>
      <c r="AH4" s="14"/>
      <c r="AI4" s="39"/>
      <c r="AJ4" s="39"/>
      <c r="AK4" s="14"/>
      <c r="AM4" s="19">
        <f>F4*16.1</f>
        <v>40829.600000000006</v>
      </c>
    </row>
    <row r="5" spans="1:42" ht="19.95" customHeight="1" x14ac:dyDescent="0.3">
      <c r="A5" s="1">
        <v>3</v>
      </c>
      <c r="B5" s="2" t="s">
        <v>15</v>
      </c>
      <c r="C5" s="24">
        <v>1500</v>
      </c>
      <c r="D5" s="6" t="s">
        <v>27</v>
      </c>
      <c r="E5" s="8">
        <f t="shared" si="1"/>
        <v>987</v>
      </c>
      <c r="F5" s="12">
        <f t="shared" si="0"/>
        <v>513</v>
      </c>
      <c r="G5" s="39"/>
      <c r="H5" s="39"/>
      <c r="I5" s="14">
        <v>101</v>
      </c>
      <c r="J5" s="14">
        <v>105</v>
      </c>
      <c r="K5" s="22">
        <v>104</v>
      </c>
      <c r="L5" s="22">
        <v>103</v>
      </c>
      <c r="M5" s="14">
        <v>100</v>
      </c>
      <c r="N5" s="39"/>
      <c r="O5" s="39"/>
      <c r="P5" s="14"/>
      <c r="Q5" s="14"/>
      <c r="R5" s="14"/>
      <c r="S5" s="14"/>
      <c r="T5" s="14"/>
      <c r="U5" s="39"/>
      <c r="V5" s="39"/>
      <c r="W5" s="14"/>
      <c r="X5" s="14"/>
      <c r="Y5" s="14"/>
      <c r="Z5" s="14"/>
      <c r="AA5" s="14"/>
      <c r="AB5" s="39"/>
      <c r="AC5" s="39"/>
      <c r="AD5" s="14"/>
      <c r="AE5" s="14"/>
      <c r="AF5" s="14"/>
      <c r="AG5" s="14"/>
      <c r="AH5" s="14"/>
      <c r="AI5" s="39"/>
      <c r="AJ5" s="39"/>
      <c r="AK5" s="14"/>
      <c r="AM5" s="19">
        <f>F5*18.4</f>
        <v>9439.1999999999989</v>
      </c>
    </row>
    <row r="6" spans="1:42" ht="19.95" customHeight="1" x14ac:dyDescent="0.3">
      <c r="A6" s="1">
        <v>4</v>
      </c>
      <c r="B6" s="2" t="s">
        <v>14</v>
      </c>
      <c r="C6" s="24">
        <v>2295</v>
      </c>
      <c r="D6" s="6" t="s">
        <v>27</v>
      </c>
      <c r="E6" s="8">
        <f t="shared" si="1"/>
        <v>1531</v>
      </c>
      <c r="F6" s="12">
        <f t="shared" si="0"/>
        <v>764</v>
      </c>
      <c r="G6" s="39"/>
      <c r="H6" s="39"/>
      <c r="I6" s="14">
        <v>144</v>
      </c>
      <c r="J6" s="14">
        <v>148</v>
      </c>
      <c r="K6" s="22">
        <v>154</v>
      </c>
      <c r="L6" s="22">
        <v>159</v>
      </c>
      <c r="M6" s="14">
        <v>159</v>
      </c>
      <c r="N6" s="39"/>
      <c r="O6" s="39"/>
      <c r="P6" s="14"/>
      <c r="Q6" s="14"/>
      <c r="R6" s="14"/>
      <c r="S6" s="14"/>
      <c r="T6" s="14"/>
      <c r="U6" s="39"/>
      <c r="V6" s="39"/>
      <c r="W6" s="14"/>
      <c r="X6" s="14"/>
      <c r="Y6" s="14"/>
      <c r="Z6" s="14"/>
      <c r="AA6" s="14"/>
      <c r="AB6" s="39"/>
      <c r="AC6" s="39"/>
      <c r="AD6" s="14"/>
      <c r="AE6" s="14"/>
      <c r="AF6" s="14"/>
      <c r="AG6" s="14"/>
      <c r="AH6" s="14"/>
      <c r="AI6" s="39"/>
      <c r="AJ6" s="39"/>
      <c r="AK6" s="14"/>
      <c r="AM6" s="19">
        <f>F6*18.4</f>
        <v>14057.599999999999</v>
      </c>
    </row>
    <row r="7" spans="1:42" ht="19.95" customHeight="1" x14ac:dyDescent="0.3">
      <c r="A7" s="1">
        <v>5</v>
      </c>
      <c r="B7" s="2" t="s">
        <v>17</v>
      </c>
      <c r="C7" s="24">
        <v>12255</v>
      </c>
      <c r="D7" s="6" t="s">
        <v>29</v>
      </c>
      <c r="E7" s="8">
        <f t="shared" si="1"/>
        <v>8218</v>
      </c>
      <c r="F7" s="12">
        <f t="shared" si="0"/>
        <v>4037</v>
      </c>
      <c r="G7" s="39"/>
      <c r="H7" s="39"/>
      <c r="I7" s="14">
        <v>792</v>
      </c>
      <c r="J7" s="14">
        <v>858</v>
      </c>
      <c r="K7" s="22">
        <v>801</v>
      </c>
      <c r="L7" s="22">
        <v>787</v>
      </c>
      <c r="M7" s="14">
        <v>799</v>
      </c>
      <c r="N7" s="39"/>
      <c r="O7" s="39"/>
      <c r="P7" s="14"/>
      <c r="Q7" s="14"/>
      <c r="R7" s="14"/>
      <c r="S7" s="14"/>
      <c r="T7" s="14"/>
      <c r="U7" s="39"/>
      <c r="V7" s="39"/>
      <c r="W7" s="14"/>
      <c r="X7" s="14"/>
      <c r="Y7" s="14"/>
      <c r="Z7" s="14"/>
      <c r="AA7" s="14"/>
      <c r="AB7" s="39"/>
      <c r="AC7" s="39"/>
      <c r="AD7" s="14"/>
      <c r="AE7" s="14"/>
      <c r="AF7" s="14"/>
      <c r="AG7" s="14"/>
      <c r="AH7" s="14"/>
      <c r="AI7" s="39"/>
      <c r="AJ7" s="39"/>
      <c r="AK7" s="14"/>
      <c r="AM7" s="19">
        <f>F7*18.4</f>
        <v>74280.799999999988</v>
      </c>
    </row>
    <row r="8" spans="1:42" ht="19.95" customHeight="1" x14ac:dyDescent="0.3">
      <c r="A8" s="1">
        <v>6</v>
      </c>
      <c r="B8" s="2" t="s">
        <v>19</v>
      </c>
      <c r="C8" s="24">
        <v>7500</v>
      </c>
      <c r="D8" s="6" t="s">
        <v>28</v>
      </c>
      <c r="E8" s="8">
        <f t="shared" si="1"/>
        <v>4801</v>
      </c>
      <c r="F8" s="12">
        <f t="shared" si="0"/>
        <v>2699</v>
      </c>
      <c r="G8" s="39"/>
      <c r="H8" s="39"/>
      <c r="I8" s="14">
        <v>535</v>
      </c>
      <c r="J8" s="14">
        <v>539</v>
      </c>
      <c r="K8" s="22">
        <v>538</v>
      </c>
      <c r="L8" s="22">
        <v>536</v>
      </c>
      <c r="M8" s="14">
        <v>551</v>
      </c>
      <c r="N8" s="39"/>
      <c r="O8" s="39"/>
      <c r="P8" s="14"/>
      <c r="Q8" s="14"/>
      <c r="R8" s="14"/>
      <c r="S8" s="14"/>
      <c r="T8" s="14"/>
      <c r="U8" s="39"/>
      <c r="V8" s="39"/>
      <c r="W8" s="14"/>
      <c r="X8" s="14"/>
      <c r="Y8" s="14"/>
      <c r="Z8" s="14"/>
      <c r="AA8" s="14"/>
      <c r="AB8" s="39"/>
      <c r="AC8" s="39"/>
      <c r="AD8" s="14"/>
      <c r="AE8" s="14"/>
      <c r="AF8" s="14"/>
      <c r="AG8" s="14"/>
      <c r="AH8" s="14"/>
      <c r="AI8" s="39"/>
      <c r="AJ8" s="39"/>
      <c r="AK8" s="14"/>
      <c r="AM8" s="19">
        <f>F8*1.73</f>
        <v>4669.2699999999995</v>
      </c>
    </row>
    <row r="9" spans="1:42" ht="19.95" customHeight="1" x14ac:dyDescent="0.3">
      <c r="A9" s="1">
        <v>7</v>
      </c>
      <c r="B9" s="2" t="s">
        <v>41</v>
      </c>
      <c r="C9" s="24">
        <v>0</v>
      </c>
      <c r="D9" s="6" t="s">
        <v>28</v>
      </c>
      <c r="E9" s="8">
        <f t="shared" si="1"/>
        <v>0</v>
      </c>
      <c r="F9" s="12">
        <f t="shared" si="0"/>
        <v>0</v>
      </c>
      <c r="G9" s="39"/>
      <c r="H9" s="39"/>
      <c r="I9" s="14">
        <v>0</v>
      </c>
      <c r="J9" s="14">
        <v>0</v>
      </c>
      <c r="K9" s="22">
        <v>0</v>
      </c>
      <c r="L9" s="22">
        <v>0</v>
      </c>
      <c r="M9" s="14">
        <v>0</v>
      </c>
      <c r="N9" s="39"/>
      <c r="O9" s="39"/>
      <c r="P9" s="14"/>
      <c r="Q9" s="14"/>
      <c r="R9" s="14"/>
      <c r="S9" s="14"/>
      <c r="T9" s="14"/>
      <c r="U9" s="39"/>
      <c r="V9" s="39"/>
      <c r="W9" s="14"/>
      <c r="X9" s="14"/>
      <c r="Y9" s="14"/>
      <c r="Z9" s="14"/>
      <c r="AA9" s="14"/>
      <c r="AB9" s="39"/>
      <c r="AC9" s="39"/>
      <c r="AD9" s="14"/>
      <c r="AE9" s="14"/>
      <c r="AF9" s="14"/>
      <c r="AG9" s="14"/>
      <c r="AH9" s="14"/>
      <c r="AI9" s="39"/>
      <c r="AJ9" s="39"/>
      <c r="AK9" s="14"/>
      <c r="AM9" s="19">
        <f>F9*1.73</f>
        <v>0</v>
      </c>
    </row>
    <row r="10" spans="1:42" ht="19.95" customHeight="1" x14ac:dyDescent="0.3">
      <c r="A10" s="1">
        <v>8</v>
      </c>
      <c r="B10" s="2" t="s">
        <v>18</v>
      </c>
      <c r="C10" s="24">
        <v>7200</v>
      </c>
      <c r="D10" s="6" t="s">
        <v>29</v>
      </c>
      <c r="E10" s="8">
        <f t="shared" si="1"/>
        <v>5200</v>
      </c>
      <c r="F10" s="12">
        <f t="shared" si="0"/>
        <v>2000</v>
      </c>
      <c r="G10" s="39"/>
      <c r="H10" s="39"/>
      <c r="I10" s="14">
        <v>397</v>
      </c>
      <c r="J10" s="14">
        <v>400</v>
      </c>
      <c r="K10" s="22">
        <v>399</v>
      </c>
      <c r="L10" s="22">
        <v>402</v>
      </c>
      <c r="M10" s="14">
        <v>402</v>
      </c>
      <c r="N10" s="39"/>
      <c r="O10" s="39"/>
      <c r="P10" s="14"/>
      <c r="Q10" s="14"/>
      <c r="R10" s="14"/>
      <c r="S10" s="14"/>
      <c r="T10" s="14"/>
      <c r="U10" s="39"/>
      <c r="V10" s="39"/>
      <c r="W10" s="14"/>
      <c r="X10" s="14"/>
      <c r="Y10" s="14"/>
      <c r="Z10" s="14"/>
      <c r="AA10" s="14"/>
      <c r="AB10" s="39"/>
      <c r="AC10" s="39"/>
      <c r="AD10" s="14"/>
      <c r="AE10" s="14"/>
      <c r="AF10" s="14"/>
      <c r="AG10" s="14"/>
      <c r="AH10" s="14"/>
      <c r="AI10" s="39"/>
      <c r="AJ10" s="39"/>
      <c r="AK10" s="14"/>
      <c r="AM10" s="19">
        <f>F10*1.73</f>
        <v>3460</v>
      </c>
    </row>
    <row r="11" spans="1:42" ht="19.95" customHeight="1" x14ac:dyDescent="0.3">
      <c r="A11" s="1">
        <v>9</v>
      </c>
      <c r="B11" s="2" t="s">
        <v>36</v>
      </c>
      <c r="C11" s="24">
        <v>6000</v>
      </c>
      <c r="D11" s="6" t="s">
        <v>28</v>
      </c>
      <c r="E11" s="8">
        <f t="shared" si="1"/>
        <v>3885</v>
      </c>
      <c r="F11" s="12">
        <f t="shared" si="0"/>
        <v>2115</v>
      </c>
      <c r="G11" s="39"/>
      <c r="H11" s="39"/>
      <c r="I11" s="14">
        <v>508</v>
      </c>
      <c r="J11" s="14">
        <v>525</v>
      </c>
      <c r="K11" s="22">
        <v>15</v>
      </c>
      <c r="L11" s="22">
        <v>538</v>
      </c>
      <c r="M11" s="14">
        <v>529</v>
      </c>
      <c r="N11" s="39"/>
      <c r="O11" s="39"/>
      <c r="P11" s="14"/>
      <c r="Q11" s="14"/>
      <c r="R11" s="14"/>
      <c r="S11" s="14"/>
      <c r="T11" s="14"/>
      <c r="U11" s="39"/>
      <c r="V11" s="39"/>
      <c r="W11" s="14"/>
      <c r="X11" s="14"/>
      <c r="Y11" s="14"/>
      <c r="Z11" s="14"/>
      <c r="AA11" s="14"/>
      <c r="AB11" s="39"/>
      <c r="AC11" s="39"/>
      <c r="AD11" s="14"/>
      <c r="AE11" s="14"/>
      <c r="AF11" s="14"/>
      <c r="AG11" s="14"/>
      <c r="AH11" s="14"/>
      <c r="AI11" s="39"/>
      <c r="AJ11" s="39"/>
      <c r="AK11" s="14"/>
      <c r="AM11" s="19">
        <f>F11*5.75</f>
        <v>12161.25</v>
      </c>
    </row>
    <row r="12" spans="1:42" ht="19.95" customHeight="1" x14ac:dyDescent="0.3">
      <c r="A12" s="1">
        <v>10</v>
      </c>
      <c r="B12" s="2" t="s">
        <v>20</v>
      </c>
      <c r="C12" s="24">
        <v>6000</v>
      </c>
      <c r="D12" s="6" t="s">
        <v>27</v>
      </c>
      <c r="E12" s="8">
        <f t="shared" si="1"/>
        <v>3865</v>
      </c>
      <c r="F12" s="12">
        <f t="shared" si="0"/>
        <v>2135</v>
      </c>
      <c r="G12" s="39"/>
      <c r="H12" s="39"/>
      <c r="I12" s="14">
        <v>494</v>
      </c>
      <c r="J12" s="14">
        <v>544</v>
      </c>
      <c r="K12" s="22">
        <v>20</v>
      </c>
      <c r="L12" s="22">
        <v>530</v>
      </c>
      <c r="M12" s="14">
        <v>547</v>
      </c>
      <c r="N12" s="39"/>
      <c r="O12" s="39"/>
      <c r="P12" s="14"/>
      <c r="Q12" s="14"/>
      <c r="R12" s="14"/>
      <c r="S12" s="14"/>
      <c r="T12" s="14"/>
      <c r="U12" s="39"/>
      <c r="V12" s="39"/>
      <c r="W12" s="14"/>
      <c r="X12" s="14"/>
      <c r="Y12" s="14"/>
      <c r="Z12" s="14"/>
      <c r="AA12" s="14"/>
      <c r="AB12" s="39"/>
      <c r="AC12" s="39"/>
      <c r="AD12" s="14"/>
      <c r="AE12" s="14"/>
      <c r="AF12" s="14"/>
      <c r="AG12" s="14"/>
      <c r="AH12" s="14"/>
      <c r="AI12" s="39"/>
      <c r="AJ12" s="39"/>
      <c r="AK12" s="14"/>
      <c r="AM12" s="19">
        <f>F12*5.75</f>
        <v>12276.25</v>
      </c>
      <c r="AP12" s="21"/>
    </row>
    <row r="13" spans="1:42" ht="19.95" customHeight="1" x14ac:dyDescent="0.3">
      <c r="A13" s="1">
        <v>11</v>
      </c>
      <c r="B13" s="2" t="s">
        <v>21</v>
      </c>
      <c r="C13" s="24">
        <v>3600</v>
      </c>
      <c r="D13" s="6" t="s">
        <v>27</v>
      </c>
      <c r="E13" s="8">
        <f t="shared" si="1"/>
        <v>2058</v>
      </c>
      <c r="F13" s="12">
        <f t="shared" si="0"/>
        <v>1542</v>
      </c>
      <c r="G13" s="39"/>
      <c r="H13" s="39"/>
      <c r="I13" s="14">
        <v>310</v>
      </c>
      <c r="J13" s="14">
        <v>305</v>
      </c>
      <c r="K13" s="22">
        <v>304</v>
      </c>
      <c r="L13" s="22">
        <v>307</v>
      </c>
      <c r="M13" s="14">
        <v>316</v>
      </c>
      <c r="N13" s="39"/>
      <c r="O13" s="39"/>
      <c r="P13" s="14"/>
      <c r="Q13" s="14"/>
      <c r="R13" s="14"/>
      <c r="S13" s="14"/>
      <c r="T13" s="14"/>
      <c r="U13" s="39"/>
      <c r="V13" s="39"/>
      <c r="W13" s="14"/>
      <c r="X13" s="14"/>
      <c r="Y13" s="14"/>
      <c r="Z13" s="14"/>
      <c r="AA13" s="14"/>
      <c r="AB13" s="39"/>
      <c r="AC13" s="39"/>
      <c r="AD13" s="14"/>
      <c r="AE13" s="14"/>
      <c r="AF13" s="14"/>
      <c r="AG13" s="14"/>
      <c r="AH13" s="14"/>
      <c r="AI13" s="39"/>
      <c r="AJ13" s="39"/>
      <c r="AK13" s="14"/>
      <c r="AM13" s="19">
        <f>F13*4.95</f>
        <v>7632.9000000000005</v>
      </c>
    </row>
    <row r="14" spans="1:42" ht="19.95" customHeight="1" x14ac:dyDescent="0.3">
      <c r="A14" s="1">
        <v>12</v>
      </c>
      <c r="B14" s="2" t="s">
        <v>34</v>
      </c>
      <c r="C14" s="24">
        <v>7500</v>
      </c>
      <c r="D14" s="6" t="s">
        <v>27</v>
      </c>
      <c r="E14" s="8">
        <f t="shared" si="1"/>
        <v>4983</v>
      </c>
      <c r="F14" s="12">
        <f t="shared" si="0"/>
        <v>2517</v>
      </c>
      <c r="G14" s="39"/>
      <c r="H14" s="39"/>
      <c r="I14" s="14">
        <v>502</v>
      </c>
      <c r="J14" s="14">
        <v>495</v>
      </c>
      <c r="K14" s="22">
        <v>509</v>
      </c>
      <c r="L14" s="22">
        <v>509</v>
      </c>
      <c r="M14" s="14">
        <v>502</v>
      </c>
      <c r="N14" s="39"/>
      <c r="O14" s="39"/>
      <c r="P14" s="14"/>
      <c r="Q14" s="14"/>
      <c r="R14" s="14"/>
      <c r="S14" s="14"/>
      <c r="T14" s="14"/>
      <c r="U14" s="39"/>
      <c r="V14" s="39"/>
      <c r="W14" s="14"/>
      <c r="X14" s="14"/>
      <c r="Y14" s="14"/>
      <c r="Z14" s="14"/>
      <c r="AA14" s="14"/>
      <c r="AB14" s="39"/>
      <c r="AC14" s="39"/>
      <c r="AD14" s="14"/>
      <c r="AE14" s="14"/>
      <c r="AF14" s="14"/>
      <c r="AG14" s="14"/>
      <c r="AH14" s="14"/>
      <c r="AI14" s="39"/>
      <c r="AJ14" s="39"/>
      <c r="AK14" s="14"/>
      <c r="AM14" s="19">
        <f>F14*1.75</f>
        <v>4404.75</v>
      </c>
    </row>
    <row r="15" spans="1:42" ht="19.95" customHeight="1" x14ac:dyDescent="0.3">
      <c r="A15" s="1">
        <v>13</v>
      </c>
      <c r="B15" s="2" t="s">
        <v>35</v>
      </c>
      <c r="C15" s="24">
        <v>2400</v>
      </c>
      <c r="D15" s="6" t="s">
        <v>28</v>
      </c>
      <c r="E15" s="8">
        <f t="shared" si="1"/>
        <v>1778</v>
      </c>
      <c r="F15" s="12">
        <f t="shared" si="0"/>
        <v>622</v>
      </c>
      <c r="G15" s="39"/>
      <c r="H15" s="39"/>
      <c r="I15" s="14">
        <v>116</v>
      </c>
      <c r="J15" s="14">
        <v>116</v>
      </c>
      <c r="K15" s="22">
        <v>129</v>
      </c>
      <c r="L15" s="22">
        <v>130</v>
      </c>
      <c r="M15" s="14">
        <v>131</v>
      </c>
      <c r="N15" s="39"/>
      <c r="O15" s="39"/>
      <c r="P15" s="14"/>
      <c r="Q15" s="14"/>
      <c r="R15" s="14"/>
      <c r="S15" s="14"/>
      <c r="T15" s="14"/>
      <c r="U15" s="39"/>
      <c r="V15" s="39"/>
      <c r="W15" s="14"/>
      <c r="X15" s="14"/>
      <c r="Y15" s="14"/>
      <c r="Z15" s="14"/>
      <c r="AA15" s="14"/>
      <c r="AB15" s="39"/>
      <c r="AC15" s="39"/>
      <c r="AD15" s="14"/>
      <c r="AE15" s="14"/>
      <c r="AF15" s="14"/>
      <c r="AG15" s="14"/>
      <c r="AH15" s="14"/>
      <c r="AI15" s="39"/>
      <c r="AJ15" s="39"/>
      <c r="AK15" s="14"/>
      <c r="AM15" s="19">
        <f>F15*14.95</f>
        <v>9298.9</v>
      </c>
    </row>
    <row r="16" spans="1:42" ht="19.95" customHeight="1" x14ac:dyDescent="0.3">
      <c r="A16" s="1">
        <v>14</v>
      </c>
      <c r="B16" s="2" t="s">
        <v>22</v>
      </c>
      <c r="C16" s="24">
        <v>3450</v>
      </c>
      <c r="D16" s="6" t="s">
        <v>27</v>
      </c>
      <c r="E16" s="8">
        <f t="shared" si="1"/>
        <v>2709</v>
      </c>
      <c r="F16" s="12">
        <f t="shared" si="0"/>
        <v>741</v>
      </c>
      <c r="G16" s="39"/>
      <c r="H16" s="39"/>
      <c r="I16" s="14">
        <v>147</v>
      </c>
      <c r="J16" s="14">
        <v>148</v>
      </c>
      <c r="K16" s="22">
        <v>150</v>
      </c>
      <c r="L16" s="22">
        <v>148</v>
      </c>
      <c r="M16" s="14">
        <v>148</v>
      </c>
      <c r="N16" s="39"/>
      <c r="O16" s="39"/>
      <c r="P16" s="14"/>
      <c r="Q16" s="14"/>
      <c r="R16" s="14"/>
      <c r="S16" s="14"/>
      <c r="T16" s="14"/>
      <c r="U16" s="39"/>
      <c r="V16" s="39"/>
      <c r="W16" s="14"/>
      <c r="X16" s="14"/>
      <c r="Y16" s="14"/>
      <c r="Z16" s="14"/>
      <c r="AA16" s="14"/>
      <c r="AB16" s="39"/>
      <c r="AC16" s="39"/>
      <c r="AD16" s="14"/>
      <c r="AE16" s="14"/>
      <c r="AF16" s="14"/>
      <c r="AG16" s="14"/>
      <c r="AH16" s="14"/>
      <c r="AI16" s="39"/>
      <c r="AJ16" s="39"/>
      <c r="AK16" s="14"/>
      <c r="AM16" s="19">
        <f>F16*18.29</f>
        <v>13552.89</v>
      </c>
    </row>
    <row r="17" spans="1:39" ht="19.95" customHeight="1" x14ac:dyDescent="0.3">
      <c r="A17" s="1">
        <v>15</v>
      </c>
      <c r="B17" s="2" t="s">
        <v>23</v>
      </c>
      <c r="C17" s="24">
        <v>7500</v>
      </c>
      <c r="D17" s="6" t="s">
        <v>27</v>
      </c>
      <c r="E17" s="8">
        <f t="shared" si="1"/>
        <v>5073</v>
      </c>
      <c r="F17" s="12">
        <f t="shared" si="0"/>
        <v>2427</v>
      </c>
      <c r="G17" s="39"/>
      <c r="H17" s="39"/>
      <c r="I17" s="14">
        <v>460</v>
      </c>
      <c r="J17" s="14">
        <v>500</v>
      </c>
      <c r="K17" s="22">
        <v>509</v>
      </c>
      <c r="L17" s="22">
        <v>489</v>
      </c>
      <c r="M17" s="14">
        <v>469</v>
      </c>
      <c r="N17" s="39"/>
      <c r="O17" s="39"/>
      <c r="P17" s="14"/>
      <c r="Q17" s="14"/>
      <c r="R17" s="14"/>
      <c r="S17" s="14"/>
      <c r="T17" s="14"/>
      <c r="U17" s="39"/>
      <c r="V17" s="39"/>
      <c r="W17" s="14"/>
      <c r="X17" s="14"/>
      <c r="Y17" s="14"/>
      <c r="Z17" s="14"/>
      <c r="AA17" s="14"/>
      <c r="AB17" s="39"/>
      <c r="AC17" s="39"/>
      <c r="AD17" s="14"/>
      <c r="AE17" s="14"/>
      <c r="AF17" s="14"/>
      <c r="AG17" s="14"/>
      <c r="AH17" s="14"/>
      <c r="AI17" s="39"/>
      <c r="AJ17" s="39"/>
      <c r="AK17" s="14"/>
      <c r="AM17" s="19">
        <f>F17*10.99</f>
        <v>26672.73</v>
      </c>
    </row>
    <row r="18" spans="1:39" ht="19.95" customHeight="1" x14ac:dyDescent="0.3">
      <c r="A18" s="1">
        <v>16</v>
      </c>
      <c r="B18" s="2" t="s">
        <v>50</v>
      </c>
      <c r="C18" s="24"/>
      <c r="D18" s="9" t="s">
        <v>57</v>
      </c>
      <c r="E18" s="8">
        <f t="shared" si="1"/>
        <v>-10</v>
      </c>
      <c r="F18" s="12">
        <f t="shared" si="0"/>
        <v>10</v>
      </c>
      <c r="G18" s="39"/>
      <c r="H18" s="39"/>
      <c r="I18" s="40">
        <v>2</v>
      </c>
      <c r="J18" s="40">
        <v>2</v>
      </c>
      <c r="K18" s="42">
        <v>2</v>
      </c>
      <c r="L18" s="42">
        <v>2</v>
      </c>
      <c r="M18" s="40">
        <v>2</v>
      </c>
      <c r="N18" s="39"/>
      <c r="O18" s="39"/>
      <c r="P18" s="14"/>
      <c r="Q18" s="14"/>
      <c r="R18" s="14"/>
      <c r="S18" s="14"/>
      <c r="T18" s="14"/>
      <c r="U18" s="39"/>
      <c r="V18" s="39"/>
      <c r="W18" s="14"/>
      <c r="X18" s="14"/>
      <c r="Y18" s="14"/>
      <c r="Z18" s="14"/>
      <c r="AA18" s="14"/>
      <c r="AB18" s="39"/>
      <c r="AC18" s="39"/>
      <c r="AD18" s="14"/>
      <c r="AE18" s="14"/>
      <c r="AF18" s="14"/>
      <c r="AG18" s="14"/>
      <c r="AH18" s="14"/>
      <c r="AI18" s="39"/>
      <c r="AJ18" s="39"/>
      <c r="AK18" s="14"/>
      <c r="AM18" s="26"/>
    </row>
    <row r="19" spans="1:39" ht="19.95" customHeight="1" x14ac:dyDescent="0.3">
      <c r="A19" s="1">
        <v>17</v>
      </c>
      <c r="B19" s="2" t="s">
        <v>59</v>
      </c>
      <c r="C19" s="24"/>
      <c r="D19" s="9" t="s">
        <v>57</v>
      </c>
      <c r="E19" s="8">
        <f t="shared" si="1"/>
        <v>-4</v>
      </c>
      <c r="F19" s="12">
        <f t="shared" si="0"/>
        <v>4</v>
      </c>
      <c r="G19" s="39"/>
      <c r="H19" s="39"/>
      <c r="I19" s="40">
        <v>2</v>
      </c>
      <c r="J19" s="14"/>
      <c r="K19" s="42">
        <v>2</v>
      </c>
      <c r="L19" s="22"/>
      <c r="M19" s="14"/>
      <c r="N19" s="39"/>
      <c r="O19" s="39"/>
      <c r="P19" s="14"/>
      <c r="Q19" s="14"/>
      <c r="R19" s="14"/>
      <c r="S19" s="14"/>
      <c r="T19" s="14"/>
      <c r="U19" s="39"/>
      <c r="V19" s="39"/>
      <c r="W19" s="14"/>
      <c r="X19" s="14"/>
      <c r="Y19" s="14"/>
      <c r="Z19" s="14"/>
      <c r="AA19" s="14"/>
      <c r="AB19" s="39"/>
      <c r="AC19" s="39"/>
      <c r="AD19" s="14"/>
      <c r="AE19" s="14"/>
      <c r="AF19" s="14"/>
      <c r="AG19" s="14"/>
      <c r="AH19" s="14"/>
      <c r="AI19" s="39"/>
      <c r="AJ19" s="39"/>
      <c r="AK19" s="14"/>
      <c r="AM19" s="26"/>
    </row>
    <row r="20" spans="1:39" ht="19.95" customHeight="1" x14ac:dyDescent="0.3">
      <c r="A20" s="30"/>
      <c r="B20" s="31"/>
      <c r="C20" s="32"/>
      <c r="D20" s="9"/>
      <c r="E20" s="10"/>
      <c r="F20" s="13"/>
      <c r="G20" s="39"/>
      <c r="H20" s="39"/>
      <c r="I20" s="14"/>
      <c r="J20" s="14"/>
      <c r="K20" s="22"/>
      <c r="L20" s="22"/>
      <c r="M20" s="14"/>
      <c r="N20" s="39"/>
      <c r="O20" s="39"/>
      <c r="P20" s="14"/>
      <c r="Q20" s="14"/>
      <c r="R20" s="14"/>
      <c r="S20" s="14"/>
      <c r="T20" s="14"/>
      <c r="U20" s="39"/>
      <c r="V20" s="39"/>
      <c r="W20" s="14"/>
      <c r="X20" s="14"/>
      <c r="Y20" s="14"/>
      <c r="Z20" s="14"/>
      <c r="AA20" s="14"/>
      <c r="AB20" s="39"/>
      <c r="AC20" s="39"/>
      <c r="AD20" s="14"/>
      <c r="AE20" s="14"/>
      <c r="AF20" s="14"/>
      <c r="AG20" s="14"/>
      <c r="AH20" s="14"/>
      <c r="AI20" s="39"/>
      <c r="AJ20" s="39"/>
      <c r="AK20" s="14"/>
      <c r="AM20" s="26"/>
    </row>
    <row r="21" spans="1:39" ht="19.95" customHeight="1" x14ac:dyDescent="0.3">
      <c r="A21" s="48" t="s">
        <v>43</v>
      </c>
      <c r="B21" s="49"/>
      <c r="C21" s="27"/>
      <c r="D21" s="9"/>
      <c r="E21" s="10"/>
      <c r="F21" s="12">
        <f>AK21+AJ21+AI21+AH21+AG21+AF21+AE21+AD21+AC21+AB21+AA21+Z21+Y21+X21+W21+V21+U21+T21+S21+R21+Q21+P21+O21+N21+M21+L21+K21+J21+I21+H21+G21</f>
        <v>0</v>
      </c>
      <c r="G21" s="39"/>
      <c r="H21" s="39"/>
      <c r="I21" s="14"/>
      <c r="J21" s="14"/>
      <c r="K21" s="22"/>
      <c r="L21" s="22"/>
      <c r="M21" s="14"/>
      <c r="N21" s="39"/>
      <c r="O21" s="39"/>
      <c r="P21" s="14"/>
      <c r="Q21" s="14"/>
      <c r="R21" s="14"/>
      <c r="S21" s="14"/>
      <c r="T21" s="14"/>
      <c r="U21" s="39"/>
      <c r="V21" s="39"/>
      <c r="W21" s="14"/>
      <c r="X21" s="14"/>
      <c r="Y21" s="14"/>
      <c r="Z21" s="14"/>
      <c r="AA21" s="14"/>
      <c r="AB21" s="39"/>
      <c r="AC21" s="39"/>
      <c r="AD21" s="14"/>
      <c r="AE21" s="14"/>
      <c r="AF21" s="14"/>
      <c r="AG21" s="14"/>
      <c r="AH21" s="14"/>
      <c r="AI21" s="39"/>
      <c r="AJ21" s="39"/>
      <c r="AK21" s="14"/>
      <c r="AM21" s="26"/>
    </row>
    <row r="22" spans="1:39" ht="19.95" customHeight="1" x14ac:dyDescent="0.3">
      <c r="A22" s="1"/>
      <c r="B22" s="28" t="s">
        <v>44</v>
      </c>
      <c r="C22" s="24"/>
      <c r="D22" s="9"/>
      <c r="E22" s="10"/>
      <c r="F22" s="12">
        <f>AK22+AJ22+AI22+AH22+AG22+AF22+AE22+AD22+AC22+AB22+AA22+Z22+Y22+X22+W22+V22+U22+T22+S22+R22+Q22+P22+O22+N22+M22+L22+K22+J22+I22+H22+G22</f>
        <v>7</v>
      </c>
      <c r="G22" s="39"/>
      <c r="H22" s="39"/>
      <c r="I22" s="14"/>
      <c r="J22" s="14"/>
      <c r="K22" s="22">
        <v>7</v>
      </c>
      <c r="L22" s="22"/>
      <c r="M22" s="14"/>
      <c r="N22" s="39"/>
      <c r="O22" s="39"/>
      <c r="P22" s="14"/>
      <c r="Q22" s="14"/>
      <c r="R22" s="14"/>
      <c r="S22" s="14"/>
      <c r="T22" s="14"/>
      <c r="U22" s="39"/>
      <c r="V22" s="39"/>
      <c r="W22" s="14"/>
      <c r="X22" s="14"/>
      <c r="Y22" s="14"/>
      <c r="Z22" s="14"/>
      <c r="AA22" s="14"/>
      <c r="AB22" s="39"/>
      <c r="AC22" s="39"/>
      <c r="AD22" s="14"/>
      <c r="AE22" s="14"/>
      <c r="AF22" s="14"/>
      <c r="AG22" s="14"/>
      <c r="AH22" s="14"/>
      <c r="AI22" s="39"/>
      <c r="AJ22" s="39"/>
      <c r="AK22" s="14"/>
      <c r="AM22" s="26"/>
    </row>
    <row r="23" spans="1:39" ht="19.95" customHeight="1" x14ac:dyDescent="0.3">
      <c r="A23" s="1"/>
      <c r="B23" s="28" t="s">
        <v>45</v>
      </c>
      <c r="C23" s="24"/>
      <c r="D23" s="9"/>
      <c r="E23" s="10"/>
      <c r="F23" s="12">
        <f>AK23+AJ23+AI23+AH23+AG23+AF23+AE23+AD23+AC23+AB23+AA23+Z23+Y23+X23+W23+V23+U23+T23+S23+R23+Q23+P23+O23+N23+M23+L23+K23+J23+I23+H23+G23</f>
        <v>4</v>
      </c>
      <c r="G23" s="39"/>
      <c r="H23" s="39"/>
      <c r="I23" s="14"/>
      <c r="J23" s="14"/>
      <c r="K23" s="22">
        <v>4</v>
      </c>
      <c r="L23" s="22"/>
      <c r="M23" s="14"/>
      <c r="N23" s="39"/>
      <c r="O23" s="39"/>
      <c r="P23" s="14"/>
      <c r="Q23" s="14"/>
      <c r="R23" s="14"/>
      <c r="S23" s="14"/>
      <c r="T23" s="14"/>
      <c r="U23" s="39"/>
      <c r="V23" s="39"/>
      <c r="W23" s="14"/>
      <c r="X23" s="14"/>
      <c r="Y23" s="14"/>
      <c r="Z23" s="14"/>
      <c r="AA23" s="14"/>
      <c r="AB23" s="39"/>
      <c r="AC23" s="39"/>
      <c r="AD23" s="14"/>
      <c r="AE23" s="14"/>
      <c r="AF23" s="14"/>
      <c r="AG23" s="14"/>
      <c r="AH23" s="14"/>
      <c r="AI23" s="39"/>
      <c r="AJ23" s="39"/>
      <c r="AK23" s="14"/>
      <c r="AM23" s="26"/>
    </row>
    <row r="24" spans="1:39" ht="19.95" customHeight="1" x14ac:dyDescent="0.3">
      <c r="A24" s="1"/>
      <c r="B24" s="28" t="s">
        <v>46</v>
      </c>
      <c r="C24" s="24"/>
      <c r="D24" s="9"/>
      <c r="E24" s="10"/>
      <c r="F24" s="12">
        <f>AK24+AJ24+AI24+AH24+AG24+AF24+AE24+AD24+AC24+AB24+AA24+Z24+Y24+X24+W24+V24+U24+T24+S24+R24+Q24+P24+O24+N24+M24+L24+K24+J24+I24+H24+G24</f>
        <v>0</v>
      </c>
      <c r="G24" s="39"/>
      <c r="H24" s="39"/>
      <c r="I24" s="14"/>
      <c r="J24" s="14"/>
      <c r="K24" s="22"/>
      <c r="L24" s="22"/>
      <c r="M24" s="14"/>
      <c r="N24" s="39"/>
      <c r="O24" s="39"/>
      <c r="P24" s="14"/>
      <c r="Q24" s="14"/>
      <c r="R24" s="14"/>
      <c r="S24" s="14"/>
      <c r="T24" s="14"/>
      <c r="U24" s="39"/>
      <c r="V24" s="39"/>
      <c r="W24" s="14"/>
      <c r="X24" s="14"/>
      <c r="Y24" s="14"/>
      <c r="Z24" s="14"/>
      <c r="AA24" s="14"/>
      <c r="AB24" s="39"/>
      <c r="AC24" s="39"/>
      <c r="AD24" s="14"/>
      <c r="AE24" s="14"/>
      <c r="AF24" s="14"/>
      <c r="AG24" s="14"/>
      <c r="AH24" s="14"/>
      <c r="AI24" s="39"/>
      <c r="AJ24" s="39"/>
      <c r="AK24" s="14"/>
      <c r="AM24" s="26"/>
    </row>
    <row r="25" spans="1:39" ht="19.95" customHeight="1" x14ac:dyDescent="0.3">
      <c r="A25" s="1"/>
      <c r="B25" s="28" t="s">
        <v>47</v>
      </c>
      <c r="C25" s="24"/>
      <c r="D25" s="9"/>
      <c r="E25" s="10"/>
      <c r="F25" s="12"/>
      <c r="G25" s="39"/>
      <c r="H25" s="39"/>
      <c r="I25" s="14"/>
      <c r="J25" s="14"/>
      <c r="K25" s="22">
        <v>4</v>
      </c>
      <c r="L25" s="22"/>
      <c r="M25" s="14"/>
      <c r="N25" s="39"/>
      <c r="O25" s="39"/>
      <c r="P25" s="14"/>
      <c r="Q25" s="14"/>
      <c r="R25" s="14"/>
      <c r="S25" s="14"/>
      <c r="T25" s="14"/>
      <c r="U25" s="39"/>
      <c r="V25" s="39"/>
      <c r="W25" s="14"/>
      <c r="X25" s="14"/>
      <c r="Y25" s="14"/>
      <c r="Z25" s="14"/>
      <c r="AA25" s="14"/>
      <c r="AB25" s="39"/>
      <c r="AC25" s="39"/>
      <c r="AD25" s="14"/>
      <c r="AE25" s="14"/>
      <c r="AF25" s="14"/>
      <c r="AG25" s="14"/>
      <c r="AH25" s="14"/>
      <c r="AI25" s="39"/>
      <c r="AJ25" s="39"/>
      <c r="AK25" s="14"/>
      <c r="AM25" s="26"/>
    </row>
    <row r="26" spans="1:39" ht="19.95" customHeight="1" x14ac:dyDescent="0.3">
      <c r="A26" s="1"/>
      <c r="B26" s="28" t="s">
        <v>53</v>
      </c>
      <c r="C26" s="24"/>
      <c r="D26" s="9"/>
      <c r="E26" s="10"/>
      <c r="F26" s="12"/>
      <c r="G26" s="39"/>
      <c r="H26" s="39"/>
      <c r="I26" s="14"/>
      <c r="J26" s="14"/>
      <c r="K26" s="22"/>
      <c r="L26" s="22"/>
      <c r="M26" s="14"/>
      <c r="N26" s="39"/>
      <c r="O26" s="39"/>
      <c r="P26" s="14"/>
      <c r="Q26" s="14"/>
      <c r="R26" s="14"/>
      <c r="S26" s="14"/>
      <c r="T26" s="14"/>
      <c r="U26" s="39"/>
      <c r="V26" s="39"/>
      <c r="W26" s="14"/>
      <c r="X26" s="14"/>
      <c r="Y26" s="14"/>
      <c r="Z26" s="14"/>
      <c r="AA26" s="14"/>
      <c r="AB26" s="39"/>
      <c r="AC26" s="39"/>
      <c r="AD26" s="14"/>
      <c r="AE26" s="14"/>
      <c r="AF26" s="14"/>
      <c r="AG26" s="14"/>
      <c r="AH26" s="14"/>
      <c r="AI26" s="39"/>
      <c r="AJ26" s="39"/>
      <c r="AK26" s="14"/>
      <c r="AM26" s="26"/>
    </row>
    <row r="27" spans="1:39" ht="19.95" customHeight="1" x14ac:dyDescent="0.3">
      <c r="A27" s="1"/>
      <c r="B27" s="28" t="s">
        <v>48</v>
      </c>
      <c r="C27" s="24"/>
      <c r="D27" s="9"/>
      <c r="E27" s="10"/>
      <c r="F27" s="12"/>
      <c r="G27" s="39"/>
      <c r="H27" s="39"/>
      <c r="I27" s="14"/>
      <c r="J27" s="14"/>
      <c r="K27" s="22"/>
      <c r="L27" s="22"/>
      <c r="M27" s="14"/>
      <c r="N27" s="39"/>
      <c r="O27" s="39"/>
      <c r="P27" s="14"/>
      <c r="Q27" s="14"/>
      <c r="R27" s="14"/>
      <c r="S27" s="14"/>
      <c r="T27" s="14"/>
      <c r="U27" s="39"/>
      <c r="V27" s="39"/>
      <c r="W27" s="14"/>
      <c r="X27" s="14"/>
      <c r="Y27" s="14"/>
      <c r="Z27" s="14"/>
      <c r="AA27" s="14"/>
      <c r="AB27" s="39"/>
      <c r="AC27" s="39"/>
      <c r="AD27" s="14"/>
      <c r="AE27" s="14"/>
      <c r="AF27" s="14"/>
      <c r="AG27" s="14"/>
      <c r="AH27" s="14"/>
      <c r="AI27" s="39"/>
      <c r="AJ27" s="39"/>
      <c r="AK27" s="14"/>
      <c r="AM27" s="26"/>
    </row>
    <row r="28" spans="1:39" ht="19.95" customHeight="1" x14ac:dyDescent="0.3">
      <c r="A28" s="17"/>
      <c r="B28" s="29" t="s">
        <v>49</v>
      </c>
      <c r="C28" s="24"/>
      <c r="D28" s="9"/>
      <c r="E28" s="10"/>
      <c r="F28" s="12">
        <f t="shared" ref="F28:F41" si="2">AK28+AJ28+AI28+AH28+AG28+AF28+AE28+AD28+AC28+AB28+AA28+Z28+Y28+X28+W28+V28+U28+T28+S28+R28+Q28+P28+O28+N28+M28+L28+K28+J28+I28+H28+G28</f>
        <v>5</v>
      </c>
      <c r="G28" s="39"/>
      <c r="H28" s="39"/>
      <c r="I28" s="14"/>
      <c r="J28" s="14"/>
      <c r="K28" s="22">
        <v>5</v>
      </c>
      <c r="L28" s="22"/>
      <c r="M28" s="14"/>
      <c r="N28" s="39"/>
      <c r="O28" s="39"/>
      <c r="P28" s="14"/>
      <c r="Q28" s="14"/>
      <c r="R28" s="14"/>
      <c r="S28" s="14"/>
      <c r="T28" s="14"/>
      <c r="U28" s="39"/>
      <c r="V28" s="39"/>
      <c r="W28" s="14"/>
      <c r="X28" s="14"/>
      <c r="Y28" s="14"/>
      <c r="Z28" s="14"/>
      <c r="AA28" s="14"/>
      <c r="AB28" s="39"/>
      <c r="AC28" s="39"/>
      <c r="AD28" s="14"/>
      <c r="AE28" s="14"/>
      <c r="AF28" s="14"/>
      <c r="AG28" s="14"/>
      <c r="AH28" s="14"/>
      <c r="AI28" s="39"/>
      <c r="AJ28" s="39"/>
      <c r="AK28" s="14"/>
      <c r="AM28" s="20">
        <f>SUM(AM3:AM17)</f>
        <v>286679.14999999997</v>
      </c>
    </row>
    <row r="29" spans="1:39" ht="19.95" customHeight="1" x14ac:dyDescent="0.3">
      <c r="A29" s="1">
        <v>16</v>
      </c>
      <c r="B29" s="45" t="s">
        <v>25</v>
      </c>
      <c r="C29" s="17"/>
      <c r="D29" s="9" t="s">
        <v>7</v>
      </c>
      <c r="E29" s="9">
        <f t="shared" ref="E29:E36" si="3">C29-F29</f>
        <v>-8</v>
      </c>
      <c r="F29" s="12">
        <f t="shared" si="2"/>
        <v>8</v>
      </c>
      <c r="G29" s="39"/>
      <c r="H29" s="39"/>
      <c r="I29" s="14">
        <v>8</v>
      </c>
      <c r="J29" s="14"/>
      <c r="K29" s="22"/>
      <c r="L29" s="22"/>
      <c r="M29" s="14"/>
      <c r="N29" s="39"/>
      <c r="O29" s="39"/>
      <c r="P29" s="14"/>
      <c r="Q29" s="14"/>
      <c r="R29" s="14"/>
      <c r="S29" s="14"/>
      <c r="T29" s="14"/>
      <c r="U29" s="39"/>
      <c r="V29" s="39"/>
      <c r="W29" s="14"/>
      <c r="X29" s="14"/>
      <c r="Y29" s="14"/>
      <c r="Z29" s="14"/>
      <c r="AA29" s="14"/>
      <c r="AB29" s="39"/>
      <c r="AC29" s="39"/>
      <c r="AD29" s="14"/>
      <c r="AE29" s="14"/>
      <c r="AF29" s="14"/>
      <c r="AG29" s="14"/>
      <c r="AH29" s="14"/>
      <c r="AI29" s="39"/>
      <c r="AJ29" s="39"/>
      <c r="AK29" s="14"/>
    </row>
    <row r="30" spans="1:39" ht="19.95" customHeight="1" x14ac:dyDescent="0.3">
      <c r="A30" s="1">
        <v>17</v>
      </c>
      <c r="B30" s="45" t="s">
        <v>24</v>
      </c>
      <c r="C30" s="17"/>
      <c r="D30" s="9" t="s">
        <v>7</v>
      </c>
      <c r="E30" s="9">
        <f t="shared" si="3"/>
        <v>0</v>
      </c>
      <c r="F30" s="12">
        <f t="shared" si="2"/>
        <v>0</v>
      </c>
      <c r="G30" s="39"/>
      <c r="H30" s="39"/>
      <c r="I30" s="14"/>
      <c r="J30" s="14"/>
      <c r="K30" s="22"/>
      <c r="L30" s="22"/>
      <c r="M30" s="14"/>
      <c r="N30" s="39"/>
      <c r="O30" s="39"/>
      <c r="P30" s="14"/>
      <c r="Q30" s="14"/>
      <c r="R30" s="14"/>
      <c r="S30" s="14"/>
      <c r="T30" s="14"/>
      <c r="U30" s="39"/>
      <c r="V30" s="39"/>
      <c r="W30" s="14"/>
      <c r="X30" s="14"/>
      <c r="Y30" s="14"/>
      <c r="Z30" s="14"/>
      <c r="AA30" s="14"/>
      <c r="AB30" s="39"/>
      <c r="AC30" s="39"/>
      <c r="AD30" s="14"/>
      <c r="AE30" s="14"/>
      <c r="AF30" s="14"/>
      <c r="AG30" s="14"/>
      <c r="AH30" s="14"/>
      <c r="AI30" s="39"/>
      <c r="AJ30" s="39"/>
      <c r="AK30" s="14"/>
    </row>
    <row r="31" spans="1:39" ht="19.95" customHeight="1" x14ac:dyDescent="0.3">
      <c r="A31" s="1">
        <v>18</v>
      </c>
      <c r="B31" s="2" t="s">
        <v>26</v>
      </c>
      <c r="C31" s="24"/>
      <c r="D31" s="6" t="s">
        <v>7</v>
      </c>
      <c r="E31" s="8">
        <f t="shared" si="3"/>
        <v>-30</v>
      </c>
      <c r="F31" s="12">
        <f t="shared" si="2"/>
        <v>30</v>
      </c>
      <c r="G31" s="39"/>
      <c r="H31" s="39"/>
      <c r="I31" s="14">
        <v>10</v>
      </c>
      <c r="J31" s="14"/>
      <c r="K31" s="22">
        <v>10</v>
      </c>
      <c r="L31" s="22"/>
      <c r="M31" s="14">
        <v>10</v>
      </c>
      <c r="N31" s="39"/>
      <c r="O31" s="39"/>
      <c r="P31" s="14"/>
      <c r="Q31" s="14"/>
      <c r="R31" s="14"/>
      <c r="S31" s="14"/>
      <c r="T31" s="14"/>
      <c r="U31" s="39"/>
      <c r="V31" s="39"/>
      <c r="W31" s="14"/>
      <c r="X31" s="14"/>
      <c r="Y31" s="14"/>
      <c r="Z31" s="14"/>
      <c r="AA31" s="14"/>
      <c r="AB31" s="39"/>
      <c r="AC31" s="39"/>
      <c r="AD31" s="14"/>
      <c r="AE31" s="14"/>
      <c r="AF31" s="14"/>
      <c r="AG31" s="14"/>
      <c r="AH31" s="14"/>
      <c r="AI31" s="39"/>
      <c r="AJ31" s="39"/>
      <c r="AK31" s="14"/>
    </row>
    <row r="32" spans="1:39" ht="19.95" customHeight="1" x14ac:dyDescent="0.3">
      <c r="A32" s="1">
        <v>19</v>
      </c>
      <c r="B32" s="2" t="s">
        <v>4</v>
      </c>
      <c r="C32" s="24"/>
      <c r="D32" s="6" t="s">
        <v>30</v>
      </c>
      <c r="E32" s="8">
        <f t="shared" si="3"/>
        <v>-60</v>
      </c>
      <c r="F32" s="12">
        <f t="shared" si="2"/>
        <v>60</v>
      </c>
      <c r="G32" s="39"/>
      <c r="H32" s="39"/>
      <c r="I32" s="14">
        <v>20</v>
      </c>
      <c r="J32" s="14"/>
      <c r="K32" s="22">
        <v>20</v>
      </c>
      <c r="L32" s="22"/>
      <c r="M32" s="14">
        <v>20</v>
      </c>
      <c r="N32" s="39"/>
      <c r="O32" s="39"/>
      <c r="P32" s="14"/>
      <c r="Q32" s="14"/>
      <c r="R32" s="14"/>
      <c r="S32" s="14"/>
      <c r="T32" s="14"/>
      <c r="U32" s="39"/>
      <c r="V32" s="39"/>
      <c r="W32" s="14"/>
      <c r="X32" s="14"/>
      <c r="Y32" s="14"/>
      <c r="Z32" s="14"/>
      <c r="AA32" s="14"/>
      <c r="AB32" s="39"/>
      <c r="AC32" s="39"/>
      <c r="AD32" s="14"/>
      <c r="AE32" s="14"/>
      <c r="AF32" s="14"/>
      <c r="AG32" s="14"/>
      <c r="AH32" s="14"/>
      <c r="AI32" s="39"/>
      <c r="AJ32" s="39"/>
      <c r="AK32" s="14"/>
    </row>
    <row r="33" spans="1:37" ht="19.95" customHeight="1" x14ac:dyDescent="0.3">
      <c r="A33" s="1">
        <v>45</v>
      </c>
      <c r="B33" s="2" t="s">
        <v>5</v>
      </c>
      <c r="C33" s="24"/>
      <c r="D33" s="6" t="s">
        <v>30</v>
      </c>
      <c r="E33" s="8">
        <f t="shared" si="3"/>
        <v>-60</v>
      </c>
      <c r="F33" s="12">
        <f t="shared" si="2"/>
        <v>60</v>
      </c>
      <c r="G33" s="39"/>
      <c r="H33" s="39"/>
      <c r="I33" s="14">
        <v>20</v>
      </c>
      <c r="J33" s="14"/>
      <c r="K33" s="22">
        <v>20</v>
      </c>
      <c r="L33" s="22"/>
      <c r="M33" s="14">
        <v>20</v>
      </c>
      <c r="N33" s="39"/>
      <c r="O33" s="39"/>
      <c r="P33" s="14"/>
      <c r="Q33" s="14"/>
      <c r="R33" s="14"/>
      <c r="S33" s="14"/>
      <c r="T33" s="14"/>
      <c r="U33" s="39"/>
      <c r="V33" s="39"/>
      <c r="W33" s="14"/>
      <c r="X33" s="14"/>
      <c r="Y33" s="14"/>
      <c r="Z33" s="14"/>
      <c r="AA33" s="14"/>
      <c r="AB33" s="39"/>
      <c r="AC33" s="39"/>
      <c r="AD33" s="14"/>
      <c r="AE33" s="14"/>
      <c r="AF33" s="14"/>
      <c r="AG33" s="14"/>
      <c r="AH33" s="14"/>
      <c r="AI33" s="39"/>
      <c r="AJ33" s="39"/>
      <c r="AK33" s="14"/>
    </row>
    <row r="34" spans="1:37" ht="19.95" customHeight="1" x14ac:dyDescent="0.3">
      <c r="A34" s="1">
        <v>21</v>
      </c>
      <c r="B34" s="2" t="s">
        <v>3</v>
      </c>
      <c r="C34" s="24"/>
      <c r="D34" s="6" t="s">
        <v>8</v>
      </c>
      <c r="E34" s="8">
        <f t="shared" si="3"/>
        <v>-150</v>
      </c>
      <c r="F34" s="12">
        <f t="shared" si="2"/>
        <v>150</v>
      </c>
      <c r="G34" s="39"/>
      <c r="H34" s="39"/>
      <c r="I34" s="14">
        <v>30</v>
      </c>
      <c r="J34" s="14">
        <v>30</v>
      </c>
      <c r="K34" s="14">
        <v>30</v>
      </c>
      <c r="L34" s="14">
        <v>30</v>
      </c>
      <c r="M34" s="14">
        <v>30</v>
      </c>
      <c r="N34" s="39"/>
      <c r="O34" s="39"/>
      <c r="P34" s="14"/>
      <c r="Q34" s="14"/>
      <c r="R34" s="14"/>
      <c r="S34" s="14"/>
      <c r="T34" s="14"/>
      <c r="U34" s="39"/>
      <c r="V34" s="39"/>
      <c r="W34" s="14"/>
      <c r="X34" s="14"/>
      <c r="Y34" s="14"/>
      <c r="Z34" s="14"/>
      <c r="AA34" s="14"/>
      <c r="AB34" s="39"/>
      <c r="AC34" s="39"/>
      <c r="AD34" s="14"/>
      <c r="AE34" s="14"/>
      <c r="AF34" s="14"/>
      <c r="AG34" s="14"/>
      <c r="AH34" s="14"/>
      <c r="AI34" s="39"/>
      <c r="AJ34" s="39"/>
      <c r="AK34" s="14"/>
    </row>
    <row r="35" spans="1:37" ht="19.95" customHeight="1" x14ac:dyDescent="0.3">
      <c r="A35" s="1">
        <v>22</v>
      </c>
      <c r="B35" s="2" t="s">
        <v>2</v>
      </c>
      <c r="C35" s="24"/>
      <c r="D35" s="6" t="s">
        <v>8</v>
      </c>
      <c r="E35" s="8">
        <f t="shared" si="3"/>
        <v>-150</v>
      </c>
      <c r="F35" s="12">
        <f t="shared" si="2"/>
        <v>150</v>
      </c>
      <c r="G35" s="39"/>
      <c r="H35" s="39"/>
      <c r="I35" s="14">
        <v>30</v>
      </c>
      <c r="J35" s="14">
        <v>30</v>
      </c>
      <c r="K35" s="14">
        <v>30</v>
      </c>
      <c r="L35" s="14">
        <v>30</v>
      </c>
      <c r="M35" s="14">
        <v>30</v>
      </c>
      <c r="N35" s="39"/>
      <c r="O35" s="39"/>
      <c r="P35" s="14"/>
      <c r="Q35" s="14"/>
      <c r="R35" s="14"/>
      <c r="S35" s="14"/>
      <c r="T35" s="14"/>
      <c r="U35" s="39"/>
      <c r="V35" s="39"/>
      <c r="W35" s="14"/>
      <c r="X35" s="14"/>
      <c r="Y35" s="14"/>
      <c r="Z35" s="14"/>
      <c r="AA35" s="14"/>
      <c r="AB35" s="39"/>
      <c r="AC35" s="39"/>
      <c r="AD35" s="14"/>
      <c r="AE35" s="14"/>
      <c r="AF35" s="14"/>
      <c r="AG35" s="14"/>
      <c r="AH35" s="14"/>
      <c r="AI35" s="39"/>
      <c r="AJ35" s="39"/>
      <c r="AK35" s="14"/>
    </row>
    <row r="36" spans="1:37" ht="19.95" customHeight="1" x14ac:dyDescent="0.3">
      <c r="A36" s="1">
        <v>23</v>
      </c>
      <c r="B36" s="35" t="s">
        <v>32</v>
      </c>
      <c r="C36" s="35"/>
      <c r="D36" s="18" t="s">
        <v>33</v>
      </c>
      <c r="E36" s="18">
        <f t="shared" si="3"/>
        <v>0</v>
      </c>
      <c r="F36" s="12">
        <f t="shared" si="2"/>
        <v>0</v>
      </c>
      <c r="G36" s="39"/>
      <c r="H36" s="39"/>
      <c r="I36" s="14"/>
      <c r="J36" s="14"/>
      <c r="K36" s="22"/>
      <c r="L36" s="22"/>
      <c r="M36" s="14"/>
      <c r="N36" s="39"/>
      <c r="O36" s="39"/>
      <c r="P36" s="14"/>
      <c r="Q36" s="14"/>
      <c r="R36" s="14"/>
      <c r="S36" s="14"/>
      <c r="T36" s="14"/>
      <c r="U36" s="39"/>
      <c r="V36" s="39"/>
      <c r="W36" s="14"/>
      <c r="X36" s="14"/>
      <c r="Y36" s="14"/>
      <c r="Z36" s="14"/>
      <c r="AA36" s="14"/>
      <c r="AB36" s="39"/>
      <c r="AC36" s="39"/>
      <c r="AD36" s="14"/>
      <c r="AE36" s="14"/>
      <c r="AF36" s="14"/>
      <c r="AG36" s="14"/>
      <c r="AH36" s="14"/>
      <c r="AI36" s="39"/>
      <c r="AJ36" s="39"/>
      <c r="AK36" s="14"/>
    </row>
    <row r="37" spans="1:37" ht="19.95" customHeight="1" x14ac:dyDescent="0.3">
      <c r="A37" s="1"/>
      <c r="B37" s="23" t="s">
        <v>42</v>
      </c>
      <c r="C37" s="25"/>
      <c r="D37" s="9" t="s">
        <v>7</v>
      </c>
      <c r="E37" s="8"/>
      <c r="F37" s="12">
        <f t="shared" si="2"/>
        <v>0</v>
      </c>
      <c r="G37" s="39"/>
      <c r="H37" s="39"/>
      <c r="I37" s="14"/>
      <c r="J37" s="14"/>
      <c r="K37" s="22"/>
      <c r="L37" s="22"/>
      <c r="M37" s="14"/>
      <c r="N37" s="39"/>
      <c r="O37" s="39"/>
      <c r="P37" s="14"/>
      <c r="Q37" s="14"/>
      <c r="R37" s="14"/>
      <c r="S37" s="14"/>
      <c r="T37" s="14"/>
      <c r="U37" s="39"/>
      <c r="V37" s="39"/>
      <c r="W37" s="14"/>
      <c r="X37" s="14"/>
      <c r="Y37" s="14"/>
      <c r="Z37" s="14"/>
      <c r="AA37" s="14"/>
      <c r="AB37" s="39"/>
      <c r="AC37" s="39"/>
      <c r="AD37" s="14"/>
      <c r="AE37" s="14"/>
      <c r="AF37" s="14"/>
      <c r="AG37" s="14"/>
      <c r="AH37" s="14"/>
      <c r="AI37" s="39"/>
      <c r="AJ37" s="39"/>
      <c r="AK37" s="14"/>
    </row>
    <row r="38" spans="1:37" ht="19.95" customHeight="1" x14ac:dyDescent="0.3">
      <c r="A38" s="1"/>
      <c r="B38" s="2" t="s">
        <v>37</v>
      </c>
      <c r="C38" s="25"/>
      <c r="D38" s="9" t="s">
        <v>7</v>
      </c>
      <c r="E38" s="8"/>
      <c r="F38" s="12">
        <f t="shared" si="2"/>
        <v>0</v>
      </c>
      <c r="G38" s="39"/>
      <c r="H38" s="39"/>
      <c r="I38" s="14"/>
      <c r="J38" s="14"/>
      <c r="K38" s="22"/>
      <c r="L38" s="22"/>
      <c r="M38" s="14"/>
      <c r="N38" s="39"/>
      <c r="O38" s="39"/>
      <c r="P38" s="14"/>
      <c r="Q38" s="14"/>
      <c r="R38" s="14"/>
      <c r="S38" s="14"/>
      <c r="T38" s="14"/>
      <c r="U38" s="39"/>
      <c r="V38" s="39"/>
      <c r="W38" s="14"/>
      <c r="X38" s="14"/>
      <c r="Y38" s="14"/>
      <c r="Z38" s="14"/>
      <c r="AA38" s="14"/>
      <c r="AB38" s="39"/>
      <c r="AC38" s="39"/>
      <c r="AD38" s="14"/>
      <c r="AE38" s="14"/>
      <c r="AF38" s="14"/>
      <c r="AG38" s="14"/>
      <c r="AH38" s="14"/>
      <c r="AI38" s="39"/>
      <c r="AJ38" s="39"/>
      <c r="AK38" s="14"/>
    </row>
    <row r="39" spans="1:37" ht="19.95" customHeight="1" x14ac:dyDescent="0.3">
      <c r="A39" s="1"/>
      <c r="B39" s="2" t="s">
        <v>38</v>
      </c>
      <c r="C39" s="25"/>
      <c r="D39" s="9" t="s">
        <v>7</v>
      </c>
      <c r="E39" s="8"/>
      <c r="F39" s="12">
        <f t="shared" si="2"/>
        <v>0</v>
      </c>
      <c r="G39" s="39"/>
      <c r="H39" s="39"/>
      <c r="I39" s="14"/>
      <c r="J39" s="14"/>
      <c r="K39" s="22"/>
      <c r="L39" s="22"/>
      <c r="M39" s="14"/>
      <c r="N39" s="39"/>
      <c r="O39" s="39"/>
      <c r="P39" s="14"/>
      <c r="Q39" s="14"/>
      <c r="R39" s="14"/>
      <c r="S39" s="14"/>
      <c r="T39" s="14"/>
      <c r="U39" s="39"/>
      <c r="V39" s="39"/>
      <c r="W39" s="14"/>
      <c r="X39" s="14"/>
      <c r="Y39" s="14"/>
      <c r="Z39" s="14"/>
      <c r="AA39" s="14"/>
      <c r="AB39" s="39"/>
      <c r="AC39" s="39"/>
      <c r="AD39" s="14"/>
      <c r="AE39" s="14"/>
      <c r="AF39" s="14"/>
      <c r="AG39" s="14"/>
      <c r="AH39" s="14"/>
      <c r="AI39" s="39"/>
      <c r="AJ39" s="39"/>
      <c r="AK39" s="14"/>
    </row>
    <row r="40" spans="1:37" ht="19.95" customHeight="1" x14ac:dyDescent="0.3">
      <c r="A40" s="1"/>
      <c r="B40" s="2" t="s">
        <v>40</v>
      </c>
      <c r="C40" s="25"/>
      <c r="D40" s="9" t="s">
        <v>7</v>
      </c>
      <c r="E40" s="8"/>
      <c r="F40" s="12">
        <f t="shared" si="2"/>
        <v>0</v>
      </c>
      <c r="G40" s="39"/>
      <c r="H40" s="39"/>
      <c r="I40" s="14"/>
      <c r="J40" s="14"/>
      <c r="K40" s="22"/>
      <c r="L40" s="22"/>
      <c r="M40" s="14"/>
      <c r="N40" s="39"/>
      <c r="O40" s="39"/>
      <c r="P40" s="14"/>
      <c r="Q40" s="14"/>
      <c r="R40" s="14"/>
      <c r="S40" s="14"/>
      <c r="T40" s="14"/>
      <c r="U40" s="39"/>
      <c r="V40" s="39"/>
      <c r="W40" s="14"/>
      <c r="X40" s="14"/>
      <c r="Y40" s="14"/>
      <c r="Z40" s="14"/>
      <c r="AA40" s="14"/>
      <c r="AB40" s="39"/>
      <c r="AC40" s="39"/>
      <c r="AD40" s="14"/>
      <c r="AE40" s="14"/>
      <c r="AF40" s="14"/>
      <c r="AG40" s="14"/>
      <c r="AH40" s="14"/>
      <c r="AI40" s="39"/>
      <c r="AJ40" s="39"/>
      <c r="AK40" s="14"/>
    </row>
    <row r="41" spans="1:37" ht="19.95" customHeight="1" x14ac:dyDescent="0.3">
      <c r="A41" s="1"/>
      <c r="B41" s="2" t="s">
        <v>39</v>
      </c>
      <c r="C41" s="25"/>
      <c r="D41" s="9" t="s">
        <v>7</v>
      </c>
      <c r="E41" s="8"/>
      <c r="F41" s="12">
        <f t="shared" si="2"/>
        <v>0</v>
      </c>
      <c r="G41" s="39"/>
      <c r="H41" s="39"/>
      <c r="I41" s="14"/>
      <c r="J41" s="14"/>
      <c r="K41" s="22"/>
      <c r="L41" s="22"/>
      <c r="M41" s="14"/>
      <c r="N41" s="39"/>
      <c r="O41" s="39"/>
      <c r="P41" s="14"/>
      <c r="Q41" s="14"/>
      <c r="R41" s="14"/>
      <c r="S41" s="14"/>
      <c r="T41" s="14"/>
      <c r="U41" s="39"/>
      <c r="V41" s="39"/>
      <c r="W41" s="14"/>
      <c r="X41" s="14"/>
      <c r="Y41" s="14"/>
      <c r="Z41" s="14"/>
      <c r="AA41" s="14"/>
      <c r="AB41" s="39"/>
      <c r="AC41" s="39"/>
      <c r="AD41" s="14"/>
      <c r="AE41" s="14"/>
      <c r="AF41" s="14"/>
      <c r="AG41" s="14"/>
      <c r="AH41" s="14"/>
      <c r="AI41" s="39"/>
      <c r="AJ41" s="39"/>
      <c r="AK41" s="14"/>
    </row>
  </sheetData>
  <mergeCells count="2">
    <mergeCell ref="C1:AK1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JANUARY.</vt:lpstr>
      <vt:lpstr>FEBRUARY </vt:lpstr>
      <vt:lpstr>MARCH </vt:lpstr>
      <vt:lpstr>APRIL</vt:lpstr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 Hussein</dc:creator>
  <cp:lastModifiedBy>roy aguilan</cp:lastModifiedBy>
  <dcterms:created xsi:type="dcterms:W3CDTF">2024-07-18T15:20:05Z</dcterms:created>
  <dcterms:modified xsi:type="dcterms:W3CDTF">2026-05-07T05:48:53Z</dcterms:modified>
</cp:coreProperties>
</file>